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zier-2" sheetId="1" state="visible" r:id="rId3"/>
    <sheet name="Bezier-4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<sst xmlns="http://schemas.openxmlformats.org/spreadsheetml/2006/main" count="429" uniqueCount="156">
  <si>
    <t xml:space="preserve">Bezier: Quadratic: Three Points</t>
  </si>
  <si>
    <t xml:space="preserve">Bernstein Polynomial</t>
  </si>
  <si>
    <t xml:space="preserve">P(u) = ∑(Bₙ,ᵢ(u)Pᵢ)</t>
  </si>
  <si>
    <t xml:space="preserve">P₀ , P₁ , P₂ → degree n=2</t>
  </si>
  <si>
    <t xml:space="preserve">P(u) = P₀(1-u)² + 2P₁u(1-u) + P₂u²</t>
  </si>
  <si>
    <t xml:space="preserve">Where 0 ≤ u ≤ 1</t>
  </si>
  <si>
    <t xml:space="preserve">Bernstein Form</t>
  </si>
  <si>
    <t xml:space="preserve">P(u)</t>
  </si>
  <si>
    <t xml:space="preserve">=</t>
  </si>
  <si>
    <t xml:space="preserve">B(2,0).P₀</t>
  </si>
  <si>
    <t xml:space="preserve">+</t>
  </si>
  <si>
    <t xml:space="preserve">B(2,1).P₁</t>
  </si>
  <si>
    <t xml:space="preserve">B(2,2).P₂</t>
  </si>
  <si>
    <t xml:space="preserve">Where</t>
  </si>
  <si>
    <t xml:space="preserve">:</t>
  </si>
  <si>
    <t xml:space="preserve">B(2,0,u) = </t>
  </si>
  <si>
    <t xml:space="preserve">(1 – u)²</t>
  </si>
  <si>
    <t xml:space="preserve">B(2,1,u) = </t>
  </si>
  <si>
    <t xml:space="preserve">2.u.(1 – u)</t>
  </si>
  <si>
    <t xml:space="preserve">B(2,2,u) =</t>
  </si>
  <si>
    <t xml:space="preserve">u²</t>
  </si>
  <si>
    <t xml:space="preserve">2D: Monomial Expansion</t>
  </si>
  <si>
    <t xml:space="preserve">x(u)</t>
  </si>
  <si>
    <t xml:space="preserve">B(2,0).x₀</t>
  </si>
  <si>
    <t xml:space="preserve">B(2,1).x₁</t>
  </si>
  <si>
    <t xml:space="preserve">B(2,2).x₂</t>
  </si>
  <si>
    <t xml:space="preserve">y(u)</t>
  </si>
  <si>
    <t xml:space="preserve">B(2,0).y₀</t>
  </si>
  <si>
    <t xml:space="preserve">B(2,1).y₁</t>
  </si>
  <si>
    <t xml:space="preserve">B(2,2).y₂</t>
  </si>
  <si>
    <t xml:space="preserve">Matrix Derivation</t>
  </si>
  <si>
    <t xml:space="preserve">P₀.(1 – u)²</t>
  </si>
  <si>
    <t xml:space="preserve">2.P₁.u.(1 – u)</t>
  </si>
  <si>
    <t xml:space="preserve">P₂.u²</t>
  </si>
  <si>
    <t xml:space="preserve">P₀.(1 – 2u + u²)</t>
  </si>
  <si>
    <t xml:space="preserve">P₁.(2u – 2u²)</t>
  </si>
  <si>
    <t xml:space="preserve">P₂.(u²)</t>
  </si>
  <si>
    <t xml:space="preserve">u².(P₀ – 2P₁ + P₂)</t>
  </si>
  <si>
    <t xml:space="preserve">u¹.(-2P₀ + 2P₁)</t>
  </si>
  <si>
    <t xml:space="preserve">u⁰.P₀</t>
  </si>
  <si>
    <t xml:space="preserve">u</t>
  </si>
  <si>
    <t xml:space="preserve">.</t>
  </si>
  <si>
    <t xml:space="preserve">P₀ – 2P₁ + P₂)</t>
  </si>
  <si>
    <t xml:space="preserve">(-2P₀ + 2P₁)</t>
  </si>
  <si>
    <t xml:space="preserve">P₀</t>
  </si>
  <si>
    <t xml:space="preserve">M.P</t>
  </si>
  <si>
    <t xml:space="preserve">U (power basis)</t>
  </si>
  <si>
    <t xml:space="preserve">M (basis matrix)</t>
  </si>
  <si>
    <t xml:space="preserve">P (Control Points)</t>
  </si>
  <si>
    <t xml:space="preserve">P₁</t>
  </si>
  <si>
    <t xml:space="preserve">P₂</t>
  </si>
  <si>
    <t xml:space="preserve">Data</t>
  </si>
  <si>
    <t xml:space="preserve">Point</t>
  </si>
  <si>
    <t xml:space="preserve">x</t>
  </si>
  <si>
    <t xml:space="preserve">y</t>
  </si>
  <si>
    <t xml:space="preserve">Parametrik</t>
  </si>
  <si>
    <t xml:space="preserve">x₀.(1 – u)²</t>
  </si>
  <si>
    <t xml:space="preserve">2.x₁.u.(1 – u)</t>
  </si>
  <si>
    <t xml:space="preserve">x₂.u²</t>
  </si>
  <si>
    <t xml:space="preserve">1 + 4.u</t>
  </si>
  <si>
    <t xml:space="preserve">(manual calculation)</t>
  </si>
  <si>
    <t xml:space="preserve">y₀.(1 – u)²</t>
  </si>
  <si>
    <t xml:space="preserve">2.y₁.u.(1 – u)</t>
  </si>
  <si>
    <t xml:space="preserve">y₂.u²</t>
  </si>
  <si>
    <t xml:space="preserve">-4u² + 4u + 1</t>
  </si>
  <si>
    <t xml:space="preserve">Coordinate 0.5</t>
  </si>
  <si>
    <t xml:space="preserve">0.5</t>
  </si>
  <si>
    <t xml:space="preserve">x(0.5)</t>
  </si>
  <si>
    <t xml:space="preserve">y(0.5)</t>
  </si>
  <si>
    <t xml:space="preserve">Parametrik Calculation</t>
  </si>
  <si>
    <t xml:space="preserve">Matrix Calculation</t>
  </si>
  <si>
    <r>
      <rPr>
        <sz val="10.5"/>
        <color theme="1"/>
        <rFont val="Calibri"/>
        <family val="2"/>
        <charset val="1"/>
      </rPr>
      <t xml:space="preserve">M</t>
    </r>
    <r>
      <rPr>
        <vertAlign val="subscript"/>
        <sz val="10.5"/>
        <color theme="1"/>
        <rFont val="Calibri"/>
        <family val="2"/>
        <charset val="1"/>
      </rPr>
      <t xml:space="preserve">x</t>
    </r>
    <r>
      <rPr>
        <sz val="10.5"/>
        <color theme="1"/>
        <rFont val="Calibri"/>
        <family val="2"/>
        <charset val="1"/>
      </rPr>
      <t xml:space="preserve">.P</t>
    </r>
    <r>
      <rPr>
        <vertAlign val="subscript"/>
        <sz val="10.5"/>
        <color theme="1"/>
        <rFont val="Calibri"/>
        <family val="2"/>
        <charset val="1"/>
      </rPr>
      <t xml:space="preserve">x</t>
    </r>
  </si>
  <si>
    <r>
      <rPr>
        <sz val="10.5"/>
        <color theme="1"/>
        <rFont val="Calibri"/>
        <family val="2"/>
        <charset val="1"/>
      </rPr>
      <t xml:space="preserve">M</t>
    </r>
    <r>
      <rPr>
        <vertAlign val="subscript"/>
        <sz val="10.5"/>
        <color theme="1"/>
        <rFont val="Calibri"/>
        <family val="2"/>
        <charset val="1"/>
      </rPr>
      <t xml:space="preserve">y</t>
    </r>
    <r>
      <rPr>
        <sz val="10.5"/>
        <color theme="1"/>
        <rFont val="Calibri"/>
        <family val="2"/>
        <charset val="1"/>
      </rPr>
      <t xml:space="preserve">.P</t>
    </r>
    <r>
      <rPr>
        <vertAlign val="subscript"/>
        <sz val="10.5"/>
        <color theme="1"/>
        <rFont val="Calibri"/>
        <family val="2"/>
        <charset val="1"/>
      </rPr>
      <t xml:space="preserve">y</t>
    </r>
  </si>
  <si>
    <t xml:space="preserve">Bezier: Quartic: Five Points</t>
  </si>
  <si>
    <t xml:space="preserve">P₀ , P₁ , P₂, P₃ , P₄ → degree n=4</t>
  </si>
  <si>
    <t xml:space="preserve">P(u) = (1-u)⁴.P₀ + 4u.(1-u)³.P₁ + 6u².(1-u)².P₂ + 4u³.(1-u).P₃ + u⁴.P₄</t>
  </si>
  <si>
    <t xml:space="preserve">B(4,0).P₀</t>
  </si>
  <si>
    <t xml:space="preserve">B(4,1).P₁</t>
  </si>
  <si>
    <t xml:space="preserve">B(4,2).P₂</t>
  </si>
  <si>
    <t xml:space="preserve">B(4,3).P₂</t>
  </si>
  <si>
    <t xml:space="preserve">B(4,4).P₂</t>
  </si>
  <si>
    <t xml:space="preserve">B(4,0,u)</t>
  </si>
  <si>
    <t xml:space="preserve">= (1 – u)⁴</t>
  </si>
  <si>
    <t xml:space="preserve">B(4,1,u)</t>
  </si>
  <si>
    <t xml:space="preserve">= 4u.(1 – u)³</t>
  </si>
  <si>
    <t xml:space="preserve">B(4,2,u)</t>
  </si>
  <si>
    <t xml:space="preserve">= 6u².(1 – u)²</t>
  </si>
  <si>
    <t xml:space="preserve">B(4,3,u)</t>
  </si>
  <si>
    <t xml:space="preserve">= 4u³.(1 – u)</t>
  </si>
  <si>
    <t xml:space="preserve">B(4,4,u)</t>
  </si>
  <si>
    <t xml:space="preserve">= u⁴</t>
  </si>
  <si>
    <t xml:space="preserve">3D: Monomial Expansion</t>
  </si>
  <si>
    <t xml:space="preserve">B(4,0).x₀</t>
  </si>
  <si>
    <t xml:space="preserve">B(4,1).x₁</t>
  </si>
  <si>
    <t xml:space="preserve">B(4,2).x₂</t>
  </si>
  <si>
    <t xml:space="preserve">B(4,2).x₃</t>
  </si>
  <si>
    <t xml:space="preserve">B(4,2).x₄</t>
  </si>
  <si>
    <t xml:space="preserve">B(4,0).y₀</t>
  </si>
  <si>
    <t xml:space="preserve">B(4,1).y₁</t>
  </si>
  <si>
    <t xml:space="preserve">B(4,2).y₂</t>
  </si>
  <si>
    <t xml:space="preserve">B(4,2).y₃</t>
  </si>
  <si>
    <t xml:space="preserve">B(4,2).y₄</t>
  </si>
  <si>
    <t xml:space="preserve">z(u)</t>
  </si>
  <si>
    <t xml:space="preserve">B(4,0).z₀</t>
  </si>
  <si>
    <t xml:space="preserve">B(4,1).z₁</t>
  </si>
  <si>
    <t xml:space="preserve">B(4,2).z₂</t>
  </si>
  <si>
    <t xml:space="preserve">B(4,2).z₃</t>
  </si>
  <si>
    <t xml:space="preserve">B(4,2).z₄</t>
  </si>
  <si>
    <t xml:space="preserve">Algebraic Expansion</t>
  </si>
  <si>
    <t xml:space="preserve">      Coefficients Grouping</t>
  </si>
  <si>
    <t xml:space="preserve">(1-u)⁴</t>
  </si>
  <si>
    <t xml:space="preserve">u⁰ – 4u¹ + 6u² – 4u³ + u⁴</t>
  </si>
  <si>
    <t xml:space="preserve">u⁴</t>
  </si>
  <si>
    <t xml:space="preserve">1.P₀ - 4.P₁ + 6.P₂ - 4.P₃ + 1.P₄</t>
  </si>
  <si>
    <t xml:space="preserve">4u(1-u)³</t>
  </si>
  <si>
    <t xml:space="preserve">4u¹ - 12u² + 12u³ – 4u⁴</t>
  </si>
  <si>
    <t xml:space="preserve">u³</t>
  </si>
  <si>
    <t xml:space="preserve">-4.P₀ + 12.P₁ - 12.P₂ + 4.P₃</t>
  </si>
  <si>
    <t xml:space="preserve">6u²(1-u)²</t>
  </si>
  <si>
    <t xml:space="preserve">6u² – 12u³ + 6u⁴</t>
  </si>
  <si>
    <t xml:space="preserve">6.P₀ - 12.P₁ + 6.P₂</t>
  </si>
  <si>
    <t xml:space="preserve">4u³(1-u)</t>
  </si>
  <si>
    <t xml:space="preserve">4u³ – 4u⁴</t>
  </si>
  <si>
    <t xml:space="preserve">u¹</t>
  </si>
  <si>
    <t xml:space="preserve">-4.P₀ + 4.P₁</t>
  </si>
  <si>
    <t xml:space="preserve">u⁰</t>
  </si>
  <si>
    <t xml:space="preserve">1.P₀</t>
  </si>
  <si>
    <t xml:space="preserve">P₃</t>
  </si>
  <si>
    <t xml:space="preserve">P₄</t>
  </si>
  <si>
    <t xml:space="preserve">z</t>
  </si>
  <si>
    <t xml:space="preserve">(1 – u)⁴.x₀</t>
  </si>
  <si>
    <t xml:space="preserve">4u.(1 – u)³.x₁</t>
  </si>
  <si>
    <t xml:space="preserve">6u.²(1 – u)².x₂</t>
  </si>
  <si>
    <t xml:space="preserve">4u³.(1 – u).x₃</t>
  </si>
  <si>
    <t xml:space="preserve">u⁴.x₄</t>
  </si>
  <si>
    <t xml:space="preserve">(1 – u)⁴.0</t>
  </si>
  <si>
    <t xml:space="preserve">4u.(1 – u)³.0</t>
  </si>
  <si>
    <t xml:space="preserve">6u.²(1 – u)².4</t>
  </si>
  <si>
    <t xml:space="preserve">4u³.(1 – u).4</t>
  </si>
  <si>
    <t xml:space="preserve">u⁴.5</t>
  </si>
  <si>
    <t xml:space="preserve">13.u⁴ – 32.u³ + 24.u²</t>
  </si>
  <si>
    <t xml:space="preserve">(1 – u)⁴.y₀</t>
  </si>
  <si>
    <t xml:space="preserve">4u.(1 – u)³.y₁</t>
  </si>
  <si>
    <t xml:space="preserve">6u.²(1 – u)².y₂</t>
  </si>
  <si>
    <t xml:space="preserve">4u³.(1 – u).y₃</t>
  </si>
  <si>
    <t xml:space="preserve">u⁴.y₄</t>
  </si>
  <si>
    <t xml:space="preserve">4u.(1 – u)³.4</t>
  </si>
  <si>
    <t xml:space="preserve">6u.²(1 – u)².0</t>
  </si>
  <si>
    <t xml:space="preserve">u⁴.4</t>
  </si>
  <si>
    <t xml:space="preserve">-28.u⁴ + 64.u³ – 48.u² + 16.u</t>
  </si>
  <si>
    <t xml:space="preserve">1</t>
  </si>
  <si>
    <t xml:space="preserve">(all z=1)</t>
  </si>
  <si>
    <t xml:space="preserve">13.(0.5)⁴ – 32.(0.5)³ + 24.(0.5)²</t>
  </si>
  <si>
    <t xml:space="preserve">-28.(0.5)⁴ + 64.(0.5)³ – 48.(0.5)² + 16.(0.5)</t>
  </si>
  <si>
    <t xml:space="preserve">z(0.5)</t>
  </si>
  <si>
    <r>
      <rPr>
        <sz val="10.5"/>
        <color theme="1"/>
        <rFont val="Calibri"/>
        <family val="2"/>
        <charset val="1"/>
      </rPr>
      <t xml:space="preserve">M</t>
    </r>
    <r>
      <rPr>
        <vertAlign val="subscript"/>
        <sz val="10.5"/>
        <color theme="1"/>
        <rFont val="Calibri"/>
        <family val="2"/>
        <charset val="1"/>
      </rPr>
      <t xml:space="preserve">Z</t>
    </r>
    <r>
      <rPr>
        <sz val="10.5"/>
        <color theme="1"/>
        <rFont val="Calibri"/>
        <family val="2"/>
        <charset val="1"/>
      </rPr>
      <t xml:space="preserve">.P</t>
    </r>
    <r>
      <rPr>
        <vertAlign val="subscript"/>
        <sz val="10.5"/>
        <color theme="1"/>
        <rFont val="Calibri"/>
        <family val="2"/>
        <charset val="1"/>
      </rPr>
      <t xml:space="preserve">Z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</si>
</sst>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"/>
    <numFmt numFmtId="167" formatCode="0.0000"/>
    <numFmt numFmtId="168" formatCode="#,##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color theme="1"/>
      <name val="Calibri"/>
      <family val="2"/>
      <charset val="1"/>
    </font>
    <font>
      <b val="true"/>
      <sz val="10.5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color theme="1"/>
      <name val="Calibri"/>
      <family val="2"/>
    </font>
    <font>
      <vertAlign val="subscript"/>
      <sz val="10.5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D54F"/>
        <bgColor rgb="FFFFCC00"/>
      </patternFill>
    </fill>
    <fill>
      <patternFill patternType="solid">
        <fgColor rgb="FFFFECB3"/>
        <bgColor rgb="FFFFF9C4"/>
      </patternFill>
    </fill>
    <fill>
      <patternFill patternType="solid">
        <fgColor rgb="FFBBDEFB"/>
        <bgColor rgb="FFB2DFDB"/>
      </patternFill>
    </fill>
    <fill>
      <patternFill patternType="solid">
        <fgColor rgb="FFE3F2FD"/>
        <bgColor rgb="FFE0F2F1"/>
      </patternFill>
    </fill>
    <fill>
      <patternFill patternType="solid">
        <fgColor rgb="FFB2DFDB"/>
        <bgColor rgb="FFBBDEFB"/>
      </patternFill>
    </fill>
    <fill>
      <patternFill patternType="solid">
        <fgColor rgb="FFE0F2F1"/>
        <bgColor rgb="FFE3F2FD"/>
      </patternFill>
    </fill>
    <fill>
      <patternFill patternType="solid">
        <fgColor rgb="FFFFF9C4"/>
        <bgColor rgb="FFFFF8E1"/>
      </patternFill>
    </fill>
    <fill>
      <patternFill patternType="solid">
        <fgColor rgb="FFFFF8E1"/>
        <bgColor rgb="FFFFF9C4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>
        <color rgb="FFE0E0E0"/>
      </right>
      <top/>
      <bottom style="thin"/>
      <diagonal/>
    </border>
    <border diagonalUp="false" diagonalDown="false">
      <left style="thin">
        <color rgb="FFE0E0E0"/>
      </left>
      <right/>
      <top/>
      <bottom style="thin"/>
      <diagonal/>
    </border>
    <border diagonalUp="false" diagonalDown="false">
      <left/>
      <right style="thin"/>
      <top style="thin"/>
      <bottom style="thin">
        <color rgb="FFE0E0E0"/>
      </bottom>
      <diagonal/>
    </border>
    <border diagonalUp="false" diagonalDown="false">
      <left style="thin"/>
      <right style="thin">
        <color rgb="FFE0E0E0"/>
      </right>
      <top style="thin"/>
      <bottom style="thin">
        <color rgb="FFE0E0E0"/>
      </bottom>
      <diagonal/>
    </border>
    <border diagonalUp="false" diagonalDown="false">
      <left style="thin">
        <color rgb="FFE0E0E0"/>
      </left>
      <right/>
      <top style="thin"/>
      <bottom style="thin">
        <color rgb="FFE0E0E0"/>
      </bottom>
      <diagonal/>
    </border>
    <border diagonalUp="false" diagonalDown="false">
      <left/>
      <right style="thin"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/>
      <right style="thin"/>
      <top style="thin">
        <color rgb="FFE0E0E0"/>
      </top>
      <bottom/>
      <diagonal/>
    </border>
    <border diagonalUp="false" diagonalDown="false">
      <left style="thin"/>
      <right style="thin">
        <color rgb="FFE0E0E0"/>
      </right>
      <top style="thin">
        <color rgb="FFE0E0E0"/>
      </top>
      <bottom/>
      <diagonal/>
    </border>
    <border diagonalUp="false" diagonalDown="false">
      <left style="thin">
        <color rgb="FFE0E0E0"/>
      </left>
      <right/>
      <top style="thin">
        <color rgb="FFE0E0E0"/>
      </top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>
        <color rgb="FFE0E0E0"/>
      </bottom>
      <diagonal/>
    </border>
    <border diagonalUp="false" diagonalDown="false">
      <left style="thin"/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/>
      <top style="thin">
        <color rgb="FFE0E0E0"/>
      </top>
      <bottom/>
      <diagonal/>
    </border>
    <border diagonalUp="false" diagonalDown="false">
      <left style="thin">
        <color rgb="FFE0E0E0"/>
      </left>
      <right style="thin">
        <color rgb="FFE0E0E0"/>
      </right>
      <top/>
      <bottom style="thin"/>
      <diagonal/>
    </border>
    <border diagonalUp="false" diagonalDown="false">
      <left style="thin">
        <color rgb="FFE0E0E0"/>
      </left>
      <right style="thin">
        <color rgb="FFE0E0E0"/>
      </right>
      <top style="thin"/>
      <bottom style="thin">
        <color rgb="FFE0E0E0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9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9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9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9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9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9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9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9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9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0E0E0"/>
      <rgbColor rgb="FFFFECB3"/>
      <rgbColor rgb="FFB2DFDB"/>
      <rgbColor rgb="FFFF99CC"/>
      <rgbColor rgb="FFCC99FF"/>
      <rgbColor rgb="FFFFD54F"/>
      <rgbColor rgb="FF3366FF"/>
      <rgbColor rgb="FF64B5F6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BDEFB"/>
    <pageSetUpPr fitToPage="false"/>
  </sheetPr>
  <dimension ref="B1:P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2.55"/>
    <col collapsed="false" customWidth="true" hidden="false" outlineLevel="0" max="3" min="3" style="1" width="7.66"/>
    <col collapsed="false" customWidth="true" hidden="false" outlineLevel="0" max="6" min="4" style="1" width="5.11"/>
    <col collapsed="false" customWidth="true" hidden="false" outlineLevel="0" max="9" min="7" style="2" width="5.11"/>
    <col collapsed="false" customWidth="true" hidden="false" outlineLevel="0" max="10" min="10" style="1" width="5.11"/>
    <col collapsed="false" customWidth="true" hidden="false" outlineLevel="0" max="15" min="11" style="3" width="5.11"/>
    <col collapsed="false" customWidth="true" hidden="false" outlineLevel="0" max="16" min="16" style="3" width="2.55"/>
  </cols>
  <sheetData>
    <row r="1" customFormat="false" ht="8.5" hidden="false" customHeight="true" outlineLevel="0" collapsed="false">
      <c r="K1" s="1"/>
      <c r="L1" s="1"/>
      <c r="M1" s="1"/>
      <c r="N1" s="1"/>
      <c r="O1" s="1"/>
      <c r="P1" s="1"/>
    </row>
    <row r="2" customFormat="false" ht="14.15" hidden="false" customHeight="true" outlineLevel="0" collapsed="false">
      <c r="B2" s="4"/>
      <c r="C2" s="4" t="s">
        <v>0</v>
      </c>
      <c r="D2" s="4"/>
      <c r="E2" s="4"/>
      <c r="F2" s="4"/>
      <c r="G2" s="4"/>
      <c r="K2" s="1"/>
      <c r="L2" s="1"/>
      <c r="M2" s="1"/>
      <c r="N2" s="1"/>
      <c r="O2" s="1"/>
      <c r="P2" s="1"/>
    </row>
    <row r="3" customFormat="false" ht="8.5" hidden="false" customHeight="true" outlineLevel="0" collapsed="false">
      <c r="K3" s="1"/>
      <c r="L3" s="1"/>
      <c r="M3" s="1"/>
      <c r="N3" s="1"/>
      <c r="O3" s="1"/>
      <c r="P3" s="1"/>
    </row>
    <row r="4" customFormat="false" ht="14.15" hidden="false" customHeight="true" outlineLevel="0" collapsed="false">
      <c r="C4" s="5" t="s">
        <v>1</v>
      </c>
      <c r="K4" s="1"/>
      <c r="L4" s="1"/>
      <c r="M4" s="1"/>
      <c r="N4" s="1"/>
      <c r="O4" s="1"/>
      <c r="P4" s="1"/>
    </row>
    <row r="5" customFormat="false" ht="14.15" hidden="false" customHeight="true" outlineLevel="0" collapsed="false">
      <c r="C5" s="1" t="s">
        <v>2</v>
      </c>
      <c r="K5" s="1"/>
      <c r="L5" s="1"/>
      <c r="M5" s="1"/>
      <c r="N5" s="1"/>
      <c r="O5" s="1"/>
      <c r="P5" s="1"/>
    </row>
    <row r="6" customFormat="false" ht="8.5" hidden="false" customHeight="true" outlineLevel="0" collapsed="false">
      <c r="K6" s="1"/>
      <c r="L6" s="1"/>
      <c r="M6" s="1"/>
      <c r="N6" s="1"/>
      <c r="O6" s="1"/>
      <c r="P6" s="1"/>
    </row>
    <row r="7" customFormat="false" ht="14.15" hidden="false" customHeight="true" outlineLevel="0" collapsed="false">
      <c r="C7" s="5" t="s">
        <v>3</v>
      </c>
      <c r="K7" s="1"/>
      <c r="L7" s="1"/>
      <c r="M7" s="1"/>
      <c r="N7" s="1"/>
      <c r="O7" s="1"/>
      <c r="P7" s="1"/>
    </row>
    <row r="8" customFormat="false" ht="14.15" hidden="false" customHeight="true" outlineLevel="0" collapsed="false">
      <c r="C8" s="1" t="s">
        <v>4</v>
      </c>
      <c r="K8" s="1"/>
      <c r="L8" s="1"/>
      <c r="M8" s="1"/>
      <c r="N8" s="1"/>
      <c r="O8" s="1"/>
      <c r="P8" s="1"/>
    </row>
    <row r="9" customFormat="false" ht="8.5" hidden="false" customHeight="true" outlineLevel="0" collapsed="false">
      <c r="K9" s="1"/>
      <c r="L9" s="1"/>
      <c r="M9" s="1"/>
      <c r="N9" s="1"/>
      <c r="O9" s="1"/>
      <c r="P9" s="1"/>
    </row>
    <row r="10" customFormat="false" ht="14.15" hidden="false" customHeight="true" outlineLevel="0" collapsed="false">
      <c r="C10" s="1" t="s">
        <v>5</v>
      </c>
      <c r="K10" s="1"/>
      <c r="L10" s="1"/>
      <c r="M10" s="1"/>
      <c r="N10" s="1"/>
      <c r="O10" s="1"/>
      <c r="P10" s="1"/>
    </row>
    <row r="11" customFormat="false" ht="8.5" hidden="false" customHeight="true" outlineLevel="0" collapsed="false">
      <c r="K11" s="1"/>
      <c r="L11" s="1"/>
      <c r="M11" s="1"/>
      <c r="N11" s="1"/>
      <c r="O11" s="1"/>
      <c r="P11" s="1"/>
    </row>
    <row r="12" customFormat="false" ht="14.15" hidden="false" customHeight="true" outlineLevel="0" collapsed="false">
      <c r="B12" s="6"/>
      <c r="C12" s="6" t="s">
        <v>6</v>
      </c>
      <c r="D12" s="6"/>
      <c r="E12" s="6"/>
      <c r="F12" s="6"/>
      <c r="G12" s="6"/>
      <c r="K12" s="1"/>
      <c r="L12" s="1"/>
      <c r="M12" s="1"/>
      <c r="N12" s="1"/>
      <c r="O12" s="1"/>
      <c r="P12" s="1"/>
    </row>
    <row r="13" customFormat="false" ht="8.5" hidden="false" customHeight="true" outlineLevel="0" collapsed="false">
      <c r="K13" s="1"/>
      <c r="L13" s="1"/>
      <c r="M13" s="1"/>
      <c r="N13" s="1"/>
      <c r="O13" s="1"/>
      <c r="P13" s="1"/>
    </row>
    <row r="14" customFormat="false" ht="14.15" hidden="false" customHeight="true" outlineLevel="0" collapsed="false">
      <c r="C14" s="7" t="s">
        <v>7</v>
      </c>
      <c r="D14" s="7" t="s">
        <v>8</v>
      </c>
      <c r="E14" s="8" t="s">
        <v>9</v>
      </c>
      <c r="F14" s="9"/>
      <c r="G14" s="9"/>
      <c r="H14" s="9" t="s">
        <v>10</v>
      </c>
      <c r="I14" s="8" t="s">
        <v>11</v>
      </c>
      <c r="J14" s="9"/>
      <c r="K14" s="9"/>
      <c r="L14" s="9" t="s">
        <v>10</v>
      </c>
      <c r="M14" s="8" t="s">
        <v>12</v>
      </c>
      <c r="N14" s="9"/>
      <c r="O14" s="9"/>
      <c r="P14" s="1"/>
    </row>
    <row r="15" customFormat="false" ht="8.5" hidden="false" customHeight="true" outlineLevel="0" collapsed="false">
      <c r="K15" s="1"/>
      <c r="L15" s="1"/>
      <c r="M15" s="1"/>
      <c r="N15" s="1"/>
      <c r="O15" s="1"/>
      <c r="P15" s="1"/>
    </row>
    <row r="16" customFormat="false" ht="14.15" hidden="false" customHeight="true" outlineLevel="0" collapsed="false">
      <c r="C16" s="1" t="s">
        <v>13</v>
      </c>
      <c r="D16" s="2" t="s">
        <v>14</v>
      </c>
      <c r="E16" s="8" t="s">
        <v>15</v>
      </c>
      <c r="F16" s="9"/>
      <c r="G16" s="9" t="s">
        <v>16</v>
      </c>
      <c r="H16" s="9"/>
      <c r="I16" s="8" t="s">
        <v>17</v>
      </c>
      <c r="J16" s="9"/>
      <c r="K16" s="9" t="s">
        <v>18</v>
      </c>
      <c r="L16" s="9"/>
      <c r="M16" s="8" t="s">
        <v>19</v>
      </c>
      <c r="N16" s="9"/>
      <c r="O16" s="10" t="s">
        <v>20</v>
      </c>
      <c r="P16" s="1"/>
    </row>
    <row r="17" customFormat="false" ht="8.5" hidden="false" customHeight="true" outlineLevel="0" collapsed="false">
      <c r="K17" s="1"/>
      <c r="L17" s="1"/>
      <c r="M17" s="1"/>
      <c r="N17" s="1"/>
      <c r="O17" s="1"/>
      <c r="P17" s="1"/>
    </row>
    <row r="18" customFormat="false" ht="14.15" hidden="false" customHeight="true" outlineLevel="0" collapsed="false">
      <c r="C18" s="11" t="s">
        <v>21</v>
      </c>
      <c r="D18" s="12"/>
      <c r="E18" s="12"/>
      <c r="F18" s="13"/>
      <c r="K18" s="1"/>
      <c r="L18" s="1"/>
      <c r="M18" s="1"/>
      <c r="N18" s="1"/>
      <c r="O18" s="1"/>
      <c r="P18" s="1"/>
    </row>
    <row r="19" customFormat="false" ht="14.15" hidden="false" customHeight="true" outlineLevel="0" collapsed="false">
      <c r="C19" s="7" t="s">
        <v>22</v>
      </c>
      <c r="D19" s="7" t="s">
        <v>8</v>
      </c>
      <c r="E19" s="8" t="s">
        <v>23</v>
      </c>
      <c r="F19" s="9"/>
      <c r="G19" s="9"/>
      <c r="H19" s="9" t="s">
        <v>10</v>
      </c>
      <c r="I19" s="8" t="s">
        <v>24</v>
      </c>
      <c r="J19" s="9"/>
      <c r="K19" s="9"/>
      <c r="L19" s="9" t="s">
        <v>10</v>
      </c>
      <c r="M19" s="8" t="s">
        <v>25</v>
      </c>
      <c r="N19" s="9"/>
      <c r="O19" s="9"/>
      <c r="P19" s="1"/>
    </row>
    <row r="20" customFormat="false" ht="14.15" hidden="false" customHeight="true" outlineLevel="0" collapsed="false">
      <c r="C20" s="7" t="s">
        <v>26</v>
      </c>
      <c r="D20" s="7" t="s">
        <v>8</v>
      </c>
      <c r="E20" s="8" t="s">
        <v>27</v>
      </c>
      <c r="F20" s="9"/>
      <c r="G20" s="9"/>
      <c r="H20" s="9" t="s">
        <v>10</v>
      </c>
      <c r="I20" s="8" t="s">
        <v>28</v>
      </c>
      <c r="J20" s="9"/>
      <c r="K20" s="9"/>
      <c r="L20" s="9" t="s">
        <v>10</v>
      </c>
      <c r="M20" s="8" t="s">
        <v>29</v>
      </c>
      <c r="N20" s="9"/>
      <c r="O20" s="9"/>
      <c r="P20" s="1"/>
    </row>
    <row r="21" customFormat="false" ht="8.5" hidden="false" customHeight="true" outlineLevel="0" collapsed="false">
      <c r="K21" s="1"/>
      <c r="L21" s="1"/>
      <c r="M21" s="1"/>
      <c r="N21" s="1"/>
      <c r="O21" s="1"/>
      <c r="P21" s="1"/>
    </row>
    <row r="22" customFormat="false" ht="14.15" hidden="false" customHeight="true" outlineLevel="0" collapsed="false">
      <c r="B22" s="6"/>
      <c r="C22" s="6" t="s">
        <v>30</v>
      </c>
      <c r="D22" s="6"/>
      <c r="E22" s="6"/>
      <c r="F22" s="6"/>
      <c r="G22" s="6"/>
      <c r="K22" s="1"/>
      <c r="L22" s="1"/>
      <c r="M22" s="1"/>
      <c r="N22" s="1"/>
      <c r="O22" s="1"/>
      <c r="P22" s="1"/>
    </row>
    <row r="23" customFormat="false" ht="8.5" hidden="false" customHeight="true" outlineLevel="0" collapsed="false">
      <c r="K23" s="1"/>
      <c r="L23" s="1"/>
      <c r="M23" s="1"/>
      <c r="N23" s="1"/>
      <c r="O23" s="1"/>
      <c r="P23" s="1"/>
    </row>
    <row r="24" customFormat="false" ht="14.15" hidden="false" customHeight="true" outlineLevel="0" collapsed="false">
      <c r="C24" s="7" t="s">
        <v>7</v>
      </c>
      <c r="D24" s="7" t="s">
        <v>8</v>
      </c>
      <c r="E24" s="8" t="s">
        <v>31</v>
      </c>
      <c r="F24" s="8"/>
      <c r="G24" s="8"/>
      <c r="H24" s="9" t="s">
        <v>10</v>
      </c>
      <c r="I24" s="8" t="s">
        <v>32</v>
      </c>
      <c r="J24" s="8"/>
      <c r="K24" s="8"/>
      <c r="L24" s="9" t="s">
        <v>10</v>
      </c>
      <c r="M24" s="8" t="s">
        <v>33</v>
      </c>
      <c r="N24" s="8"/>
      <c r="O24" s="8"/>
      <c r="P24" s="1"/>
    </row>
    <row r="25" customFormat="false" ht="14.15" hidden="false" customHeight="true" outlineLevel="0" collapsed="false">
      <c r="C25" s="7"/>
      <c r="D25" s="7" t="s">
        <v>8</v>
      </c>
      <c r="E25" s="8" t="s">
        <v>34</v>
      </c>
      <c r="F25" s="8"/>
      <c r="G25" s="8"/>
      <c r="H25" s="9" t="s">
        <v>10</v>
      </c>
      <c r="I25" s="8" t="s">
        <v>35</v>
      </c>
      <c r="J25" s="8"/>
      <c r="K25" s="8"/>
      <c r="L25" s="9" t="s">
        <v>10</v>
      </c>
      <c r="M25" s="8" t="s">
        <v>36</v>
      </c>
      <c r="N25" s="8"/>
      <c r="O25" s="8"/>
      <c r="P25" s="1"/>
    </row>
    <row r="26" customFormat="false" ht="14.15" hidden="false" customHeight="true" outlineLevel="0" collapsed="false">
      <c r="C26" s="7"/>
      <c r="D26" s="7" t="s">
        <v>8</v>
      </c>
      <c r="E26" s="8" t="s">
        <v>37</v>
      </c>
      <c r="F26" s="8"/>
      <c r="G26" s="8"/>
      <c r="H26" s="9" t="s">
        <v>10</v>
      </c>
      <c r="I26" s="8" t="s">
        <v>38</v>
      </c>
      <c r="J26" s="8"/>
      <c r="K26" s="8"/>
      <c r="L26" s="9" t="s">
        <v>10</v>
      </c>
      <c r="M26" s="8" t="s">
        <v>39</v>
      </c>
      <c r="N26" s="8"/>
      <c r="O26" s="8"/>
      <c r="P26" s="1"/>
    </row>
    <row r="27" customFormat="false" ht="8.5" hidden="false" customHeight="true" outlineLevel="0" collapsed="false">
      <c r="K27" s="1"/>
      <c r="L27" s="1"/>
      <c r="M27" s="1"/>
      <c r="N27" s="1"/>
      <c r="O27" s="1"/>
      <c r="P27" s="1"/>
    </row>
    <row r="28" customFormat="false" ht="14.15" hidden="false" customHeight="true" outlineLevel="0" collapsed="false">
      <c r="C28" s="2" t="s">
        <v>7</v>
      </c>
      <c r="D28" s="2" t="s">
        <v>8</v>
      </c>
      <c r="E28" s="14" t="s">
        <v>20</v>
      </c>
      <c r="F28" s="2" t="s">
        <v>40</v>
      </c>
      <c r="G28" s="15" t="n">
        <v>1</v>
      </c>
      <c r="H28" s="2" t="s">
        <v>41</v>
      </c>
      <c r="I28" s="16" t="s">
        <v>42</v>
      </c>
      <c r="J28" s="16"/>
      <c r="K28" s="16"/>
      <c r="L28" s="1"/>
      <c r="M28" s="1"/>
      <c r="N28" s="1"/>
      <c r="O28" s="1"/>
      <c r="P28" s="1"/>
    </row>
    <row r="29" customFormat="false" ht="14.15" hidden="false" customHeight="true" outlineLevel="0" collapsed="false">
      <c r="C29" s="2"/>
      <c r="D29" s="2"/>
      <c r="E29" s="2"/>
      <c r="F29" s="2"/>
      <c r="I29" s="16" t="s">
        <v>43</v>
      </c>
      <c r="J29" s="16"/>
      <c r="K29" s="16"/>
      <c r="L29" s="1"/>
      <c r="M29" s="1"/>
      <c r="N29" s="1"/>
      <c r="O29" s="1"/>
      <c r="P29" s="1"/>
    </row>
    <row r="30" customFormat="false" ht="14.15" hidden="false" customHeight="true" outlineLevel="0" collapsed="false">
      <c r="C30" s="2"/>
      <c r="D30" s="2"/>
      <c r="E30" s="2"/>
      <c r="F30" s="2"/>
      <c r="I30" s="16" t="s">
        <v>44</v>
      </c>
      <c r="J30" s="16"/>
      <c r="K30" s="16"/>
      <c r="L30" s="1"/>
      <c r="M30" s="1"/>
      <c r="N30" s="1"/>
      <c r="O30" s="1"/>
      <c r="P30" s="1"/>
    </row>
    <row r="31" customFormat="false" ht="8.5" hidden="false" customHeight="true" outlineLevel="0" collapsed="false">
      <c r="C31" s="2"/>
      <c r="D31" s="2"/>
      <c r="E31" s="2"/>
      <c r="F31" s="2"/>
      <c r="I31" s="1"/>
      <c r="K31" s="1"/>
      <c r="L31" s="1"/>
      <c r="M31" s="1"/>
      <c r="N31" s="1"/>
      <c r="O31" s="1"/>
      <c r="P31" s="1"/>
    </row>
    <row r="32" customFormat="false" ht="14.15" hidden="false" customHeight="true" outlineLevel="0" collapsed="false">
      <c r="I32" s="17"/>
      <c r="J32" s="18" t="s">
        <v>45</v>
      </c>
      <c r="K32" s="18"/>
      <c r="L32" s="1"/>
      <c r="M32" s="1"/>
      <c r="N32" s="1"/>
      <c r="O32" s="1"/>
      <c r="P32" s="1"/>
    </row>
    <row r="33" customFormat="false" ht="8.5" hidden="false" customHeight="true" outlineLevel="0" collapsed="false">
      <c r="K33" s="1"/>
      <c r="L33" s="1"/>
      <c r="M33" s="1"/>
      <c r="N33" s="1"/>
      <c r="O33" s="1"/>
      <c r="P33" s="1"/>
    </row>
    <row r="34" customFormat="false" ht="14.15" hidden="false" customHeight="true" outlineLevel="0" collapsed="false">
      <c r="E34" s="19" t="s">
        <v>46</v>
      </c>
      <c r="F34" s="19"/>
      <c r="G34" s="19"/>
      <c r="I34" s="19" t="s">
        <v>47</v>
      </c>
      <c r="J34" s="19"/>
      <c r="K34" s="19"/>
      <c r="L34" s="1"/>
      <c r="M34" s="19" t="s">
        <v>48</v>
      </c>
      <c r="N34" s="19"/>
      <c r="O34" s="19"/>
      <c r="P34" s="1"/>
    </row>
    <row r="35" customFormat="false" ht="8.5" hidden="false" customHeight="true" outlineLevel="0" collapsed="false">
      <c r="K35" s="1"/>
      <c r="L35" s="1"/>
      <c r="M35" s="1"/>
      <c r="N35" s="1"/>
      <c r="O35" s="1"/>
      <c r="P35" s="1"/>
    </row>
    <row r="36" customFormat="false" ht="14.15" hidden="false" customHeight="true" outlineLevel="0" collapsed="false">
      <c r="C36" s="2" t="s">
        <v>7</v>
      </c>
      <c r="D36" s="2" t="s">
        <v>8</v>
      </c>
      <c r="E36" s="14" t="s">
        <v>20</v>
      </c>
      <c r="F36" s="2" t="s">
        <v>40</v>
      </c>
      <c r="G36" s="15" t="n">
        <v>1</v>
      </c>
      <c r="H36" s="2" t="s">
        <v>41</v>
      </c>
      <c r="I36" s="14" t="n">
        <v>1</v>
      </c>
      <c r="J36" s="2" t="n">
        <v>-2</v>
      </c>
      <c r="K36" s="15" t="n">
        <v>1</v>
      </c>
      <c r="L36" s="2" t="s">
        <v>41</v>
      </c>
      <c r="M36" s="16" t="s">
        <v>44</v>
      </c>
      <c r="N36" s="1"/>
      <c r="O36" s="1"/>
      <c r="P36" s="1"/>
    </row>
    <row r="37" customFormat="false" ht="14.15" hidden="false" customHeight="true" outlineLevel="0" collapsed="false">
      <c r="C37" s="2"/>
      <c r="D37" s="2"/>
      <c r="E37" s="2"/>
      <c r="F37" s="2"/>
      <c r="I37" s="14" t="n">
        <v>-2</v>
      </c>
      <c r="J37" s="2" t="n">
        <v>2</v>
      </c>
      <c r="K37" s="15" t="n">
        <v>0</v>
      </c>
      <c r="L37" s="2"/>
      <c r="M37" s="16" t="s">
        <v>49</v>
      </c>
      <c r="N37" s="1"/>
      <c r="O37" s="1"/>
      <c r="P37" s="1"/>
    </row>
    <row r="38" customFormat="false" ht="14.15" hidden="false" customHeight="true" outlineLevel="0" collapsed="false">
      <c r="C38" s="2"/>
      <c r="D38" s="2"/>
      <c r="E38" s="2"/>
      <c r="F38" s="2"/>
      <c r="I38" s="14" t="n">
        <v>1</v>
      </c>
      <c r="J38" s="2" t="n">
        <v>0</v>
      </c>
      <c r="K38" s="15" t="n">
        <v>0</v>
      </c>
      <c r="L38" s="2"/>
      <c r="M38" s="16" t="s">
        <v>50</v>
      </c>
      <c r="N38" s="1"/>
      <c r="O38" s="1"/>
      <c r="P38" s="1"/>
    </row>
    <row r="39" customFormat="false" ht="8.5" hidden="false" customHeight="true" outlineLevel="0" collapsed="false">
      <c r="K39" s="1"/>
      <c r="L39" s="1"/>
      <c r="M39" s="1"/>
      <c r="N39" s="1"/>
      <c r="O39" s="1"/>
      <c r="P39" s="1"/>
    </row>
    <row r="40" customFormat="false" ht="14.15" hidden="false" customHeight="true" outlineLevel="0" collapsed="false">
      <c r="B40" s="6"/>
      <c r="C40" s="6" t="s">
        <v>51</v>
      </c>
      <c r="D40" s="6"/>
      <c r="E40" s="2"/>
      <c r="F40" s="2"/>
      <c r="K40" s="1"/>
      <c r="L40" s="1"/>
      <c r="M40" s="1"/>
      <c r="N40" s="1"/>
      <c r="O40" s="1"/>
      <c r="P40" s="1"/>
    </row>
    <row r="41" customFormat="false" ht="8.5" hidden="false" customHeight="true" outlineLevel="0" collapsed="false">
      <c r="K41" s="1"/>
      <c r="L41" s="1"/>
      <c r="M41" s="1"/>
      <c r="N41" s="1"/>
      <c r="O41" s="1"/>
      <c r="P41" s="1"/>
    </row>
    <row r="42" customFormat="false" ht="14.15" hidden="false" customHeight="true" outlineLevel="0" collapsed="false">
      <c r="C42" s="20" t="s">
        <v>52</v>
      </c>
      <c r="D42" s="21" t="s">
        <v>53</v>
      </c>
      <c r="E42" s="22" t="s">
        <v>54</v>
      </c>
      <c r="K42" s="1"/>
      <c r="L42" s="1"/>
      <c r="M42" s="1"/>
      <c r="N42" s="1"/>
      <c r="O42" s="1"/>
      <c r="P42" s="1"/>
    </row>
    <row r="43" customFormat="false" ht="14.15" hidden="false" customHeight="true" outlineLevel="0" collapsed="false">
      <c r="C43" s="23" t="s">
        <v>44</v>
      </c>
      <c r="D43" s="24" t="n">
        <v>1</v>
      </c>
      <c r="E43" s="25" t="n">
        <v>1</v>
      </c>
      <c r="K43" s="1"/>
      <c r="L43" s="1"/>
      <c r="M43" s="1"/>
      <c r="N43" s="1"/>
      <c r="O43" s="1"/>
      <c r="P43" s="1"/>
    </row>
    <row r="44" customFormat="false" ht="14.15" hidden="false" customHeight="true" outlineLevel="0" collapsed="false">
      <c r="C44" s="26" t="s">
        <v>49</v>
      </c>
      <c r="D44" s="27" t="n">
        <v>3</v>
      </c>
      <c r="E44" s="28" t="n">
        <v>3</v>
      </c>
      <c r="K44" s="1"/>
      <c r="L44" s="1"/>
      <c r="M44" s="1"/>
      <c r="N44" s="1"/>
      <c r="O44" s="1"/>
      <c r="P44" s="1"/>
    </row>
    <row r="45" customFormat="false" ht="14.15" hidden="false" customHeight="true" outlineLevel="0" collapsed="false">
      <c r="C45" s="29" t="s">
        <v>50</v>
      </c>
      <c r="D45" s="30" t="n">
        <v>5</v>
      </c>
      <c r="E45" s="31" t="n">
        <v>1</v>
      </c>
      <c r="K45" s="1"/>
      <c r="L45" s="1"/>
      <c r="M45" s="1"/>
      <c r="N45" s="1"/>
      <c r="O45" s="1"/>
      <c r="P45" s="1"/>
    </row>
    <row r="46" customFormat="false" ht="8.5" hidden="false" customHeight="true" outlineLevel="0" collapsed="false">
      <c r="K46" s="1"/>
      <c r="L46" s="1"/>
      <c r="M46" s="1"/>
      <c r="N46" s="1"/>
      <c r="O46" s="1"/>
      <c r="P46" s="1"/>
    </row>
    <row r="47" customFormat="false" ht="14.15" hidden="false" customHeight="true" outlineLevel="0" collapsed="false">
      <c r="B47" s="6"/>
      <c r="C47" s="6" t="s">
        <v>55</v>
      </c>
      <c r="D47" s="6"/>
      <c r="E47" s="2"/>
      <c r="F47" s="2"/>
      <c r="K47" s="1"/>
      <c r="L47" s="1"/>
      <c r="M47" s="1"/>
      <c r="N47" s="1"/>
      <c r="O47" s="1"/>
      <c r="P47" s="1"/>
    </row>
    <row r="48" customFormat="false" ht="8.5" hidden="false" customHeight="true" outlineLevel="0" collapsed="false">
      <c r="K48" s="1"/>
      <c r="L48" s="1"/>
      <c r="M48" s="1"/>
      <c r="N48" s="1"/>
      <c r="O48" s="1"/>
      <c r="P48" s="1"/>
    </row>
    <row r="49" customFormat="false" ht="14.15" hidden="false" customHeight="true" outlineLevel="0" collapsed="false">
      <c r="C49" s="7" t="s">
        <v>22</v>
      </c>
      <c r="D49" s="7" t="s">
        <v>8</v>
      </c>
      <c r="E49" s="8" t="s">
        <v>56</v>
      </c>
      <c r="F49" s="8"/>
      <c r="G49" s="8"/>
      <c r="H49" s="9" t="s">
        <v>10</v>
      </c>
      <c r="I49" s="8" t="s">
        <v>57</v>
      </c>
      <c r="J49" s="8"/>
      <c r="K49" s="8"/>
      <c r="L49" s="9" t="s">
        <v>10</v>
      </c>
      <c r="M49" s="8" t="s">
        <v>58</v>
      </c>
      <c r="N49" s="8"/>
      <c r="O49" s="8"/>
      <c r="P49" s="1"/>
    </row>
    <row r="50" customFormat="false" ht="14.15" hidden="false" customHeight="true" outlineLevel="0" collapsed="false">
      <c r="C50" s="2"/>
      <c r="D50" s="2" t="s">
        <v>8</v>
      </c>
      <c r="E50" s="32" t="str">
        <f aca="false">D43&amp;".(1 – u)²"</f>
        <v>1.(1 – u)²</v>
      </c>
      <c r="F50" s="32"/>
      <c r="G50" s="32"/>
      <c r="H50" s="33" t="s">
        <v>10</v>
      </c>
      <c r="I50" s="32" t="str">
        <f aca="false">"2."&amp;D44&amp;".u.(1 – u)"</f>
        <v>2.3.u.(1 – u)</v>
      </c>
      <c r="J50" s="32"/>
      <c r="K50" s="32"/>
      <c r="L50" s="33" t="s">
        <v>10</v>
      </c>
      <c r="M50" s="32" t="str">
        <f aca="false">D45&amp;".u²"</f>
        <v>5.u²</v>
      </c>
      <c r="N50" s="32"/>
      <c r="O50" s="32"/>
      <c r="P50" s="1"/>
    </row>
    <row r="51" customFormat="false" ht="14.15" hidden="false" customHeight="true" outlineLevel="0" collapsed="false">
      <c r="C51" s="7"/>
      <c r="D51" s="2" t="s">
        <v>8</v>
      </c>
      <c r="E51" s="9" t="s">
        <v>59</v>
      </c>
      <c r="G51" s="9"/>
      <c r="H51" s="33"/>
      <c r="I51" s="33"/>
      <c r="J51" s="9" t="s">
        <v>60</v>
      </c>
      <c r="K51" s="9"/>
      <c r="L51" s="9"/>
      <c r="M51" s="9"/>
      <c r="N51" s="9"/>
      <c r="O51" s="9"/>
      <c r="P51" s="1"/>
    </row>
    <row r="52" customFormat="false" ht="8.5" hidden="false" customHeight="true" outlineLevel="0" collapsed="false">
      <c r="C52" s="7"/>
      <c r="D52" s="2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1"/>
    </row>
    <row r="53" customFormat="false" ht="14.15" hidden="false" customHeight="true" outlineLevel="0" collapsed="false">
      <c r="C53" s="7" t="s">
        <v>26</v>
      </c>
      <c r="D53" s="7" t="s">
        <v>8</v>
      </c>
      <c r="E53" s="8" t="s">
        <v>61</v>
      </c>
      <c r="F53" s="8"/>
      <c r="G53" s="8"/>
      <c r="H53" s="9" t="s">
        <v>10</v>
      </c>
      <c r="I53" s="8" t="s">
        <v>62</v>
      </c>
      <c r="J53" s="8"/>
      <c r="K53" s="8"/>
      <c r="L53" s="9" t="s">
        <v>10</v>
      </c>
      <c r="M53" s="8" t="s">
        <v>63</v>
      </c>
      <c r="N53" s="8"/>
      <c r="O53" s="8"/>
      <c r="P53" s="1"/>
    </row>
    <row r="54" customFormat="false" ht="14.15" hidden="false" customHeight="true" outlineLevel="0" collapsed="false">
      <c r="C54" s="2"/>
      <c r="D54" s="2" t="s">
        <v>8</v>
      </c>
      <c r="E54" s="32" t="str">
        <f aca="false">E43&amp;".(1 – u)²"</f>
        <v>1.(1 – u)²</v>
      </c>
      <c r="F54" s="32"/>
      <c r="G54" s="32"/>
      <c r="H54" s="33" t="s">
        <v>10</v>
      </c>
      <c r="I54" s="32" t="str">
        <f aca="false">"2."&amp;E44&amp;".u.(1 – u)"</f>
        <v>2.3.u.(1 – u)</v>
      </c>
      <c r="J54" s="32"/>
      <c r="K54" s="32"/>
      <c r="L54" s="33" t="s">
        <v>10</v>
      </c>
      <c r="M54" s="32" t="str">
        <f aca="false">E45&amp;".u²"</f>
        <v>1.u²</v>
      </c>
      <c r="N54" s="32"/>
      <c r="O54" s="32"/>
      <c r="P54" s="1"/>
    </row>
    <row r="55" customFormat="false" ht="14.15" hidden="false" customHeight="true" outlineLevel="0" collapsed="false">
      <c r="C55" s="7"/>
      <c r="D55" s="2" t="s">
        <v>8</v>
      </c>
      <c r="E55" s="9" t="s">
        <v>64</v>
      </c>
      <c r="G55" s="9"/>
      <c r="H55" s="9"/>
      <c r="I55" s="9"/>
      <c r="J55" s="9" t="s">
        <v>60</v>
      </c>
      <c r="K55" s="9"/>
      <c r="L55" s="9"/>
      <c r="M55" s="9"/>
      <c r="N55" s="9"/>
      <c r="O55" s="9"/>
      <c r="P55" s="1"/>
    </row>
    <row r="56" customFormat="false" ht="8.5" hidden="false" customHeight="true" outlineLevel="0" collapsed="false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1"/>
    </row>
    <row r="57" customFormat="false" ht="14.15" hidden="false" customHeight="true" outlineLevel="0" collapsed="false">
      <c r="C57" s="1" t="s">
        <v>5</v>
      </c>
      <c r="K57" s="1"/>
      <c r="L57" s="1"/>
      <c r="M57" s="1"/>
      <c r="N57" s="1"/>
      <c r="O57" s="1"/>
      <c r="P57" s="1"/>
    </row>
    <row r="58" customFormat="false" ht="8.5" hidden="false" customHeight="true" outlineLevel="0" collapsed="false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1"/>
    </row>
    <row r="59" customFormat="false" ht="14.15" hidden="false" customHeight="true" outlineLevel="0" collapsed="false">
      <c r="B59" s="6"/>
      <c r="C59" s="6" t="s">
        <v>65</v>
      </c>
      <c r="D59" s="6"/>
      <c r="E59" s="6"/>
      <c r="F59" s="6"/>
      <c r="K59" s="1"/>
      <c r="L59" s="1"/>
      <c r="M59" s="1"/>
      <c r="N59" s="1"/>
      <c r="O59" s="1"/>
      <c r="P59" s="1"/>
    </row>
    <row r="60" customFormat="false" ht="8.5" hidden="false" customHeight="true" outlineLevel="0" collapsed="false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1"/>
    </row>
    <row r="61" customFormat="false" ht="14.15" hidden="false" customHeight="true" outlineLevel="0" collapsed="false">
      <c r="C61" s="2" t="s">
        <v>40</v>
      </c>
      <c r="D61" s="2" t="s">
        <v>8</v>
      </c>
      <c r="E61" s="33" t="s">
        <v>66</v>
      </c>
      <c r="F61" s="2"/>
      <c r="J61" s="2"/>
      <c r="K61" s="2"/>
      <c r="L61" s="2"/>
      <c r="M61" s="2"/>
      <c r="N61" s="2"/>
      <c r="O61" s="7"/>
      <c r="P61" s="1"/>
    </row>
    <row r="62" customFormat="false" ht="14.15" hidden="false" customHeight="true" outlineLevel="0" collapsed="false">
      <c r="C62" s="2" t="s">
        <v>67</v>
      </c>
      <c r="D62" s="2" t="s">
        <v>8</v>
      </c>
      <c r="E62" s="33" t="s">
        <v>59</v>
      </c>
      <c r="F62" s="2"/>
      <c r="H62" s="2" t="s">
        <v>8</v>
      </c>
      <c r="I62" s="33" t="str">
        <f aca="false">"1 + 4.("&amp;E61&amp;")"</f>
        <v>1 + 4.(0.5)</v>
      </c>
      <c r="K62" s="1"/>
      <c r="L62" s="1"/>
      <c r="M62" s="2" t="s">
        <v>8</v>
      </c>
      <c r="N62" s="2" t="n">
        <v>3</v>
      </c>
      <c r="O62" s="1"/>
      <c r="P62" s="1"/>
    </row>
    <row r="63" customFormat="false" ht="14.15" hidden="false" customHeight="true" outlineLevel="0" collapsed="false">
      <c r="C63" s="2" t="s">
        <v>68</v>
      </c>
      <c r="D63" s="2" t="s">
        <v>8</v>
      </c>
      <c r="E63" s="33" t="s">
        <v>64</v>
      </c>
      <c r="F63" s="2"/>
      <c r="H63" s="2" t="s">
        <v>8</v>
      </c>
      <c r="I63" s="33" t="str">
        <f aca="false">"-4.("&amp;E61&amp;")² + 4("&amp;E61&amp;") + 1"</f>
        <v>-4.(0.5)² + 4(0.5) + 1</v>
      </c>
      <c r="K63" s="1"/>
      <c r="L63" s="1"/>
      <c r="M63" s="2" t="s">
        <v>8</v>
      </c>
      <c r="N63" s="2" t="n">
        <v>2</v>
      </c>
      <c r="O63" s="1"/>
      <c r="P63" s="1"/>
    </row>
    <row r="64" customFormat="false" ht="8.5" hidden="false" customHeight="true" outlineLevel="0" collapsed="false">
      <c r="K64" s="1"/>
      <c r="L64" s="1"/>
      <c r="M64" s="1"/>
      <c r="N64" s="1"/>
      <c r="O64" s="1"/>
      <c r="P64" s="1"/>
    </row>
    <row r="65" customFormat="false" ht="14.15" hidden="false" customHeight="true" outlineLevel="0" collapsed="false">
      <c r="B65" s="34"/>
      <c r="C65" s="34" t="s">
        <v>69</v>
      </c>
      <c r="D65" s="34"/>
      <c r="E65" s="34"/>
      <c r="F65" s="6"/>
      <c r="K65" s="1"/>
      <c r="L65" s="1"/>
      <c r="M65" s="1"/>
      <c r="N65" s="1"/>
      <c r="O65" s="1"/>
      <c r="P65" s="1"/>
    </row>
    <row r="66" customFormat="false" ht="8.5" hidden="false" customHeight="true" outlineLevel="0" collapsed="false">
      <c r="K66" s="1"/>
      <c r="L66" s="1"/>
      <c r="M66" s="1"/>
      <c r="N66" s="1"/>
      <c r="O66" s="1"/>
      <c r="P66" s="1"/>
    </row>
    <row r="67" customFormat="false" ht="14.15" hidden="false" customHeight="true" outlineLevel="0" collapsed="false">
      <c r="C67" s="35" t="s">
        <v>22</v>
      </c>
      <c r="D67" s="2" t="s">
        <v>8</v>
      </c>
      <c r="E67" s="9" t="s">
        <v>59</v>
      </c>
      <c r="G67" s="7"/>
      <c r="H67" s="1"/>
      <c r="I67" s="1"/>
      <c r="J67" s="7"/>
      <c r="K67" s="7"/>
      <c r="L67" s="7"/>
      <c r="M67" s="7"/>
      <c r="N67" s="7"/>
      <c r="O67" s="7"/>
      <c r="P67" s="1"/>
    </row>
    <row r="68" customFormat="false" ht="14.15" hidden="false" customHeight="true" outlineLevel="0" collapsed="false">
      <c r="C68" s="35" t="s">
        <v>26</v>
      </c>
      <c r="D68" s="2" t="s">
        <v>8</v>
      </c>
      <c r="E68" s="9" t="s">
        <v>64</v>
      </c>
      <c r="G68" s="7"/>
      <c r="H68" s="7"/>
      <c r="I68" s="7"/>
      <c r="J68" s="7"/>
      <c r="K68" s="7"/>
      <c r="L68" s="7"/>
      <c r="M68" s="7"/>
      <c r="N68" s="7"/>
      <c r="O68" s="7"/>
      <c r="P68" s="1"/>
    </row>
    <row r="69" customFormat="false" ht="8.5" hidden="false" customHeight="true" outlineLevel="0" collapsed="false">
      <c r="K69" s="1"/>
      <c r="L69" s="1"/>
      <c r="M69" s="1"/>
      <c r="N69" s="1"/>
      <c r="O69" s="1"/>
      <c r="P69" s="1"/>
    </row>
    <row r="70" customFormat="false" ht="13.2" hidden="false" customHeight="false" outlineLevel="0" collapsed="false">
      <c r="C70" s="20" t="s">
        <v>40</v>
      </c>
      <c r="D70" s="21" t="s">
        <v>53</v>
      </c>
      <c r="E70" s="22" t="s">
        <v>54</v>
      </c>
      <c r="K70" s="1"/>
      <c r="L70" s="1"/>
      <c r="M70" s="1"/>
      <c r="N70" s="1"/>
      <c r="O70" s="1"/>
      <c r="P70" s="1"/>
    </row>
    <row r="71" customFormat="false" ht="13.2" hidden="false" customHeight="false" outlineLevel="0" collapsed="false">
      <c r="C71" s="36" t="n">
        <v>0</v>
      </c>
      <c r="D71" s="37" t="n">
        <f aca="false">1+4*C71</f>
        <v>1</v>
      </c>
      <c r="E71" s="38" t="n">
        <f aca="false">-4*C71^2+4*C71+1</f>
        <v>1</v>
      </c>
      <c r="K71" s="1"/>
      <c r="L71" s="1"/>
      <c r="M71" s="1"/>
      <c r="N71" s="1"/>
      <c r="O71" s="1"/>
      <c r="P71" s="1"/>
    </row>
    <row r="72" customFormat="false" ht="13.2" hidden="false" customHeight="false" outlineLevel="0" collapsed="false">
      <c r="C72" s="39" t="n">
        <f aca="false">C71+0.125</f>
        <v>0.125</v>
      </c>
      <c r="D72" s="40" t="n">
        <f aca="false">1+4*C72</f>
        <v>1.5</v>
      </c>
      <c r="E72" s="41" t="n">
        <f aca="false">-4*C72^2+4*C72+1</f>
        <v>1.4375</v>
      </c>
      <c r="K72" s="1"/>
      <c r="L72" s="1"/>
      <c r="M72" s="1"/>
      <c r="N72" s="1"/>
      <c r="O72" s="1"/>
      <c r="P72" s="1"/>
    </row>
    <row r="73" customFormat="false" ht="13.2" hidden="false" customHeight="false" outlineLevel="0" collapsed="false">
      <c r="C73" s="39" t="n">
        <f aca="false">C72+0.125</f>
        <v>0.25</v>
      </c>
      <c r="D73" s="40" t="n">
        <f aca="false">1+4*C73</f>
        <v>2</v>
      </c>
      <c r="E73" s="41" t="n">
        <f aca="false">-4*C73^2+4*C73+1</f>
        <v>1.75</v>
      </c>
      <c r="K73" s="1"/>
      <c r="L73" s="1"/>
      <c r="M73" s="1"/>
      <c r="N73" s="1"/>
      <c r="O73" s="1"/>
      <c r="P73" s="1"/>
    </row>
    <row r="74" customFormat="false" ht="13.2" hidden="false" customHeight="false" outlineLevel="0" collapsed="false">
      <c r="C74" s="39" t="n">
        <f aca="false">C73+0.125</f>
        <v>0.375</v>
      </c>
      <c r="D74" s="40" t="n">
        <f aca="false">1+4*C74</f>
        <v>2.5</v>
      </c>
      <c r="E74" s="41" t="n">
        <f aca="false">-4*C74^2+4*C74+1</f>
        <v>1.9375</v>
      </c>
      <c r="K74" s="1"/>
      <c r="L74" s="1"/>
      <c r="M74" s="1"/>
      <c r="N74" s="1"/>
      <c r="O74" s="1"/>
      <c r="P74" s="1"/>
    </row>
    <row r="75" customFormat="false" ht="13.2" hidden="false" customHeight="false" outlineLevel="0" collapsed="false">
      <c r="C75" s="42" t="n">
        <f aca="false">C74+0.125</f>
        <v>0.5</v>
      </c>
      <c r="D75" s="43" t="n">
        <f aca="false">1+4*C75</f>
        <v>3</v>
      </c>
      <c r="E75" s="44" t="n">
        <f aca="false">-4*C75^2+4*C75+1</f>
        <v>2</v>
      </c>
      <c r="K75" s="1"/>
      <c r="L75" s="1"/>
      <c r="M75" s="1"/>
      <c r="N75" s="1"/>
      <c r="O75" s="1"/>
      <c r="P75" s="1"/>
    </row>
    <row r="76" customFormat="false" ht="13.2" hidden="false" customHeight="false" outlineLevel="0" collapsed="false">
      <c r="C76" s="39" t="n">
        <f aca="false">C75+0.125</f>
        <v>0.625</v>
      </c>
      <c r="D76" s="40" t="n">
        <f aca="false">1+4*C76</f>
        <v>3.5</v>
      </c>
      <c r="E76" s="41" t="n">
        <f aca="false">-4*C76^2+4*C76+1</f>
        <v>1.9375</v>
      </c>
      <c r="K76" s="1"/>
      <c r="L76" s="1"/>
      <c r="M76" s="1"/>
      <c r="N76" s="1"/>
      <c r="O76" s="1"/>
      <c r="P76" s="1"/>
    </row>
    <row r="77" customFormat="false" ht="13.2" hidden="false" customHeight="false" outlineLevel="0" collapsed="false">
      <c r="C77" s="39" t="n">
        <f aca="false">C76+0.125</f>
        <v>0.75</v>
      </c>
      <c r="D77" s="40" t="n">
        <f aca="false">1+4*C77</f>
        <v>4</v>
      </c>
      <c r="E77" s="41" t="n">
        <f aca="false">-4*C77^2+4*C77+1</f>
        <v>1.75</v>
      </c>
      <c r="K77" s="1"/>
      <c r="L77" s="1"/>
      <c r="M77" s="1"/>
      <c r="N77" s="1"/>
      <c r="O77" s="1"/>
      <c r="P77" s="1"/>
    </row>
    <row r="78" customFormat="false" ht="13.2" hidden="false" customHeight="false" outlineLevel="0" collapsed="false">
      <c r="C78" s="39" t="n">
        <f aca="false">C77+0.125</f>
        <v>0.875</v>
      </c>
      <c r="D78" s="40" t="n">
        <f aca="false">1+4*C78</f>
        <v>4.5</v>
      </c>
      <c r="E78" s="41" t="n">
        <f aca="false">-4*C78^2+4*C78+1</f>
        <v>1.4375</v>
      </c>
      <c r="K78" s="1"/>
      <c r="L78" s="1"/>
      <c r="M78" s="1"/>
      <c r="N78" s="1"/>
      <c r="O78" s="1"/>
      <c r="P78" s="1"/>
    </row>
    <row r="79" customFormat="false" ht="13.2" hidden="false" customHeight="false" outlineLevel="0" collapsed="false">
      <c r="C79" s="45" t="n">
        <f aca="false">C78+0.125</f>
        <v>1</v>
      </c>
      <c r="D79" s="46" t="n">
        <f aca="false">1+4*C79</f>
        <v>5</v>
      </c>
      <c r="E79" s="47" t="n">
        <f aca="false">-4*C79^2+4*C79+1</f>
        <v>1</v>
      </c>
      <c r="K79" s="1"/>
      <c r="L79" s="1"/>
      <c r="M79" s="1"/>
      <c r="N79" s="1"/>
      <c r="O79" s="1"/>
      <c r="P79" s="1"/>
    </row>
    <row r="80" customFormat="false" ht="8.5" hidden="false" customHeight="true" outlineLevel="0" collapsed="false">
      <c r="K80" s="1"/>
      <c r="L80" s="1"/>
      <c r="M80" s="1"/>
      <c r="N80" s="1"/>
      <c r="O80" s="1"/>
      <c r="P80" s="1"/>
    </row>
    <row r="81" customFormat="false" ht="14.15" hidden="false" customHeight="true" outlineLevel="0" collapsed="false">
      <c r="B81" s="34"/>
      <c r="C81" s="34" t="s">
        <v>70</v>
      </c>
      <c r="D81" s="34"/>
      <c r="E81" s="34"/>
      <c r="F81" s="6"/>
      <c r="K81" s="1"/>
      <c r="L81" s="1"/>
      <c r="M81" s="1"/>
      <c r="N81" s="1"/>
      <c r="O81" s="1"/>
      <c r="P81" s="1"/>
    </row>
    <row r="82" customFormat="false" ht="8.5" hidden="false" customHeight="true" outlineLevel="0" collapsed="false">
      <c r="K82" s="1"/>
      <c r="L82" s="1"/>
      <c r="M82" s="1"/>
      <c r="N82" s="1"/>
      <c r="O82" s="1"/>
      <c r="P82" s="1"/>
    </row>
    <row r="83" customFormat="false" ht="14.15" hidden="false" customHeight="true" outlineLevel="0" collapsed="false">
      <c r="E83" s="19" t="s">
        <v>46</v>
      </c>
      <c r="F83" s="19"/>
      <c r="G83" s="19"/>
      <c r="I83" s="19" t="s">
        <v>47</v>
      </c>
      <c r="J83" s="19"/>
      <c r="K83" s="19"/>
      <c r="L83" s="1"/>
      <c r="M83" s="19" t="s">
        <v>48</v>
      </c>
      <c r="N83" s="19"/>
      <c r="O83" s="19"/>
      <c r="P83" s="1"/>
    </row>
    <row r="84" customFormat="false" ht="8.5" hidden="false" customHeight="true" outlineLevel="0" collapsed="false">
      <c r="K84" s="1"/>
      <c r="L84" s="1"/>
      <c r="M84" s="1"/>
      <c r="N84" s="1"/>
      <c r="O84" s="1"/>
      <c r="P84" s="1"/>
    </row>
    <row r="85" customFormat="false" ht="14.15" hidden="false" customHeight="true" outlineLevel="0" collapsed="false">
      <c r="C85" s="2" t="s">
        <v>7</v>
      </c>
      <c r="D85" s="2" t="s">
        <v>8</v>
      </c>
      <c r="E85" s="14" t="s">
        <v>20</v>
      </c>
      <c r="F85" s="2" t="s">
        <v>40</v>
      </c>
      <c r="G85" s="15" t="n">
        <v>1</v>
      </c>
      <c r="H85" s="2" t="s">
        <v>41</v>
      </c>
      <c r="I85" s="14" t="n">
        <v>1</v>
      </c>
      <c r="J85" s="2" t="n">
        <v>-2</v>
      </c>
      <c r="K85" s="15" t="n">
        <v>1</v>
      </c>
      <c r="L85" s="2" t="s">
        <v>41</v>
      </c>
      <c r="M85" s="16" t="s">
        <v>44</v>
      </c>
      <c r="N85" s="1"/>
      <c r="O85" s="1"/>
      <c r="P85" s="1"/>
    </row>
    <row r="86" customFormat="false" ht="14.15" hidden="false" customHeight="true" outlineLevel="0" collapsed="false">
      <c r="C86" s="2"/>
      <c r="D86" s="2"/>
      <c r="E86" s="2"/>
      <c r="F86" s="2"/>
      <c r="I86" s="14" t="n">
        <v>-2</v>
      </c>
      <c r="J86" s="2" t="n">
        <v>2</v>
      </c>
      <c r="K86" s="15" t="n">
        <v>0</v>
      </c>
      <c r="L86" s="2"/>
      <c r="M86" s="16" t="s">
        <v>49</v>
      </c>
      <c r="N86" s="1"/>
      <c r="O86" s="1"/>
      <c r="P86" s="1"/>
    </row>
    <row r="87" customFormat="false" ht="14.15" hidden="false" customHeight="true" outlineLevel="0" collapsed="false">
      <c r="C87" s="2"/>
      <c r="D87" s="2"/>
      <c r="E87" s="2"/>
      <c r="F87" s="2"/>
      <c r="I87" s="14" t="n">
        <v>1</v>
      </c>
      <c r="J87" s="2" t="n">
        <v>0</v>
      </c>
      <c r="K87" s="15" t="n">
        <v>0</v>
      </c>
      <c r="L87" s="2"/>
      <c r="M87" s="16" t="s">
        <v>50</v>
      </c>
      <c r="N87" s="1"/>
      <c r="O87" s="1"/>
      <c r="P87" s="1"/>
    </row>
    <row r="88" customFormat="false" ht="8.5" hidden="false" customHeight="true" outlineLevel="0" collapsed="false">
      <c r="C88" s="2"/>
      <c r="D88" s="2"/>
      <c r="E88" s="2"/>
      <c r="F88" s="2"/>
      <c r="J88" s="2"/>
      <c r="K88" s="2"/>
      <c r="L88" s="2"/>
      <c r="M88" s="2"/>
      <c r="N88" s="2"/>
      <c r="O88" s="1"/>
      <c r="P88" s="1"/>
    </row>
    <row r="89" customFormat="false" ht="14.15" hidden="false" customHeight="true" outlineLevel="0" collapsed="false">
      <c r="C89" s="20" t="s">
        <v>52</v>
      </c>
      <c r="D89" s="21" t="s">
        <v>53</v>
      </c>
      <c r="E89" s="22" t="s">
        <v>54</v>
      </c>
      <c r="G89" s="2" t="s">
        <v>71</v>
      </c>
      <c r="H89" s="1"/>
      <c r="I89" s="2" t="s">
        <v>72</v>
      </c>
      <c r="K89" s="1"/>
      <c r="L89" s="1"/>
      <c r="M89" s="1"/>
      <c r="N89" s="1"/>
      <c r="O89" s="1"/>
      <c r="P89" s="1"/>
    </row>
    <row r="90" customFormat="false" ht="14.15" hidden="false" customHeight="true" outlineLevel="0" collapsed="false">
      <c r="C90" s="23" t="s">
        <v>44</v>
      </c>
      <c r="D90" s="24" t="n">
        <v>1</v>
      </c>
      <c r="E90" s="25" t="n">
        <v>1</v>
      </c>
      <c r="G90" s="16" t="n">
        <f aca="false" t="array" ref="G90:G92">MMULT($I$85:$K$87,$D$90:$D$92)</f>
        <v>0</v>
      </c>
      <c r="H90" s="1"/>
      <c r="I90" s="16" t="n">
        <f aca="false" t="array" ref="I90:I92">MMULT($I$85:$K$87,$E$90:$E$92)</f>
        <v>-4</v>
      </c>
      <c r="K90" s="1"/>
      <c r="L90" s="1"/>
      <c r="M90" s="1"/>
      <c r="N90" s="1"/>
      <c r="O90" s="1"/>
      <c r="P90" s="1"/>
    </row>
    <row r="91" customFormat="false" ht="14.15" hidden="false" customHeight="true" outlineLevel="0" collapsed="false">
      <c r="C91" s="26" t="s">
        <v>49</v>
      </c>
      <c r="D91" s="27" t="n">
        <v>3</v>
      </c>
      <c r="E91" s="28" t="n">
        <v>3</v>
      </c>
      <c r="G91" s="16" t="n">
        <v>4</v>
      </c>
      <c r="H91" s="1"/>
      <c r="I91" s="16" t="n">
        <v>4</v>
      </c>
      <c r="K91" s="1"/>
      <c r="L91" s="1"/>
      <c r="M91" s="1"/>
      <c r="N91" s="1"/>
      <c r="O91" s="1"/>
      <c r="P91" s="1"/>
    </row>
    <row r="92" customFormat="false" ht="14.15" hidden="false" customHeight="true" outlineLevel="0" collapsed="false">
      <c r="C92" s="29" t="s">
        <v>50</v>
      </c>
      <c r="D92" s="30" t="n">
        <v>5</v>
      </c>
      <c r="E92" s="31" t="n">
        <v>1</v>
      </c>
      <c r="G92" s="16" t="n">
        <v>1</v>
      </c>
      <c r="H92" s="1"/>
      <c r="I92" s="16" t="n">
        <v>1</v>
      </c>
      <c r="K92" s="1"/>
      <c r="L92" s="1"/>
      <c r="M92" s="1"/>
      <c r="N92" s="1"/>
      <c r="O92" s="1"/>
      <c r="P92" s="1"/>
    </row>
    <row r="93" customFormat="false" ht="8.5" hidden="false" customHeight="true" outlineLevel="0" collapsed="false">
      <c r="K93" s="1"/>
      <c r="L93" s="1"/>
      <c r="M93" s="1"/>
      <c r="N93" s="1"/>
      <c r="O93" s="1"/>
      <c r="P93" s="1"/>
    </row>
    <row r="94" customFormat="false" ht="13.2" hidden="false" customHeight="false" outlineLevel="0" collapsed="false">
      <c r="C94" s="20" t="s">
        <v>40</v>
      </c>
      <c r="D94" s="21" t="s">
        <v>20</v>
      </c>
      <c r="E94" s="22" t="s">
        <v>40</v>
      </c>
      <c r="F94" s="48" t="n">
        <v>1</v>
      </c>
      <c r="H94" s="49" t="s">
        <v>53</v>
      </c>
      <c r="I94" s="50" t="s">
        <v>54</v>
      </c>
      <c r="K94" s="1"/>
      <c r="L94" s="1"/>
      <c r="M94" s="1"/>
      <c r="N94" s="1"/>
      <c r="O94" s="1"/>
      <c r="P94" s="1"/>
    </row>
    <row r="95" customFormat="false" ht="13.2" hidden="false" customHeight="false" outlineLevel="0" collapsed="false">
      <c r="C95" s="36" t="n">
        <v>0</v>
      </c>
      <c r="D95" s="37" t="n">
        <f aca="false">C95^2</f>
        <v>0</v>
      </c>
      <c r="E95" s="38" t="n">
        <f aca="false">C95</f>
        <v>0</v>
      </c>
      <c r="F95" s="38" t="n">
        <f aca="false">1</f>
        <v>1</v>
      </c>
      <c r="H95" s="36" t="n">
        <f aca="false">MMULT($D95:$F95,$G$90:$G$92)</f>
        <v>1</v>
      </c>
      <c r="I95" s="51" t="n">
        <f aca="false">MMULT($D95:$F95,$I$90:$I$92)</f>
        <v>1</v>
      </c>
      <c r="K95" s="1"/>
      <c r="L95" s="1"/>
      <c r="M95" s="1"/>
      <c r="N95" s="1"/>
      <c r="O95" s="1"/>
      <c r="P95" s="1"/>
    </row>
    <row r="96" customFormat="false" ht="13.2" hidden="false" customHeight="false" outlineLevel="0" collapsed="false">
      <c r="C96" s="39" t="n">
        <f aca="false">C95+0.125</f>
        <v>0.125</v>
      </c>
      <c r="D96" s="40" t="n">
        <f aca="false">C96^2</f>
        <v>0.015625</v>
      </c>
      <c r="E96" s="41" t="n">
        <f aca="false">C96</f>
        <v>0.125</v>
      </c>
      <c r="F96" s="41" t="n">
        <f aca="false">1</f>
        <v>1</v>
      </c>
      <c r="H96" s="39" t="n">
        <f aca="false">MMULT($D96:$F96,$G$90:$G$92)</f>
        <v>1.5</v>
      </c>
      <c r="I96" s="52" t="n">
        <f aca="false">MMULT($D96:$F96,$I$90:$I$92)</f>
        <v>1.4375</v>
      </c>
      <c r="K96" s="1"/>
      <c r="L96" s="1"/>
      <c r="M96" s="1"/>
      <c r="N96" s="1"/>
      <c r="O96" s="1"/>
      <c r="P96" s="1"/>
    </row>
    <row r="97" customFormat="false" ht="13.2" hidden="false" customHeight="false" outlineLevel="0" collapsed="false">
      <c r="C97" s="39" t="n">
        <f aca="false">C96+0.125</f>
        <v>0.25</v>
      </c>
      <c r="D97" s="40" t="n">
        <f aca="false">C97^2</f>
        <v>0.0625</v>
      </c>
      <c r="E97" s="41" t="n">
        <f aca="false">C97</f>
        <v>0.25</v>
      </c>
      <c r="F97" s="41" t="n">
        <f aca="false">1</f>
        <v>1</v>
      </c>
      <c r="H97" s="39" t="n">
        <f aca="false">MMULT($D97:$F97,$G$90:$G$92)</f>
        <v>2</v>
      </c>
      <c r="I97" s="52" t="n">
        <f aca="false">MMULT($D97:$F97,$I$90:$I$92)</f>
        <v>1.75</v>
      </c>
      <c r="K97" s="1"/>
      <c r="L97" s="1"/>
      <c r="M97" s="1"/>
      <c r="N97" s="1"/>
      <c r="O97" s="1"/>
      <c r="P97" s="1"/>
    </row>
    <row r="98" customFormat="false" ht="13.2" hidden="false" customHeight="false" outlineLevel="0" collapsed="false">
      <c r="C98" s="39" t="n">
        <f aca="false">C97+0.125</f>
        <v>0.375</v>
      </c>
      <c r="D98" s="40" t="n">
        <f aca="false">C98^2</f>
        <v>0.140625</v>
      </c>
      <c r="E98" s="41" t="n">
        <f aca="false">C98</f>
        <v>0.375</v>
      </c>
      <c r="F98" s="41" t="n">
        <f aca="false">1</f>
        <v>1</v>
      </c>
      <c r="H98" s="39" t="n">
        <f aca="false">MMULT($D98:$F98,$G$90:$G$92)</f>
        <v>2.5</v>
      </c>
      <c r="I98" s="52" t="n">
        <f aca="false">MMULT($D98:$F98,$I$90:$I$92)</f>
        <v>1.9375</v>
      </c>
      <c r="K98" s="1"/>
      <c r="L98" s="1"/>
      <c r="M98" s="1"/>
      <c r="N98" s="1"/>
      <c r="O98" s="1"/>
      <c r="P98" s="1"/>
    </row>
    <row r="99" customFormat="false" ht="13.2" hidden="false" customHeight="false" outlineLevel="0" collapsed="false">
      <c r="C99" s="42" t="n">
        <f aca="false">C98+0.125</f>
        <v>0.5</v>
      </c>
      <c r="D99" s="43" t="n">
        <f aca="false">C99^2</f>
        <v>0.25</v>
      </c>
      <c r="E99" s="44" t="n">
        <f aca="false">C99</f>
        <v>0.5</v>
      </c>
      <c r="F99" s="44" t="n">
        <f aca="false">1</f>
        <v>1</v>
      </c>
      <c r="H99" s="42" t="n">
        <f aca="false">MMULT($D99:$F99,$G$90:$G$92)</f>
        <v>3</v>
      </c>
      <c r="I99" s="53" t="n">
        <f aca="false">MMULT($D99:$F99,$I$90:$I$92)</f>
        <v>2</v>
      </c>
      <c r="K99" s="1"/>
      <c r="L99" s="1"/>
      <c r="M99" s="1"/>
      <c r="N99" s="1"/>
      <c r="O99" s="1"/>
      <c r="P99" s="1"/>
    </row>
    <row r="100" customFormat="false" ht="13.2" hidden="false" customHeight="false" outlineLevel="0" collapsed="false">
      <c r="C100" s="39" t="n">
        <f aca="false">C99+0.125</f>
        <v>0.625</v>
      </c>
      <c r="D100" s="40" t="n">
        <f aca="false">C100^2</f>
        <v>0.390625</v>
      </c>
      <c r="E100" s="41" t="n">
        <f aca="false">C100</f>
        <v>0.625</v>
      </c>
      <c r="F100" s="41" t="n">
        <f aca="false">1</f>
        <v>1</v>
      </c>
      <c r="H100" s="39" t="n">
        <f aca="false">MMULT($D100:$F100,$G$90:$G$92)</f>
        <v>3.5</v>
      </c>
      <c r="I100" s="52" t="n">
        <f aca="false">MMULT($D100:$F100,$I$90:$I$92)</f>
        <v>1.9375</v>
      </c>
      <c r="K100" s="1"/>
      <c r="L100" s="1"/>
      <c r="M100" s="1"/>
      <c r="N100" s="1"/>
      <c r="O100" s="1"/>
      <c r="P100" s="1"/>
    </row>
    <row r="101" customFormat="false" ht="13.2" hidden="false" customHeight="false" outlineLevel="0" collapsed="false">
      <c r="C101" s="39" t="n">
        <f aca="false">C100+0.125</f>
        <v>0.75</v>
      </c>
      <c r="D101" s="40" t="n">
        <f aca="false">C101^2</f>
        <v>0.5625</v>
      </c>
      <c r="E101" s="41" t="n">
        <f aca="false">C101</f>
        <v>0.75</v>
      </c>
      <c r="F101" s="41" t="n">
        <f aca="false">1</f>
        <v>1</v>
      </c>
      <c r="H101" s="39" t="n">
        <f aca="false">MMULT($D101:$F101,$G$90:$G$92)</f>
        <v>4</v>
      </c>
      <c r="I101" s="52" t="n">
        <f aca="false">MMULT($D101:$F101,$I$90:$I$92)</f>
        <v>1.75</v>
      </c>
      <c r="K101" s="1"/>
      <c r="L101" s="1"/>
      <c r="M101" s="1"/>
      <c r="N101" s="1"/>
      <c r="O101" s="1"/>
      <c r="P101" s="1"/>
    </row>
    <row r="102" customFormat="false" ht="13.2" hidden="false" customHeight="false" outlineLevel="0" collapsed="false">
      <c r="C102" s="39" t="n">
        <f aca="false">C101+0.125</f>
        <v>0.875</v>
      </c>
      <c r="D102" s="40" t="n">
        <f aca="false">C102^2</f>
        <v>0.765625</v>
      </c>
      <c r="E102" s="41" t="n">
        <f aca="false">C102</f>
        <v>0.875</v>
      </c>
      <c r="F102" s="41" t="n">
        <f aca="false">1</f>
        <v>1</v>
      </c>
      <c r="H102" s="39" t="n">
        <f aca="false">MMULT($D102:$F102,$G$90:$G$92)</f>
        <v>4.5</v>
      </c>
      <c r="I102" s="52" t="n">
        <f aca="false">MMULT($D102:$F102,$I$90:$I$92)</f>
        <v>1.4375</v>
      </c>
      <c r="K102" s="1"/>
      <c r="L102" s="1"/>
      <c r="M102" s="1"/>
      <c r="N102" s="1"/>
      <c r="O102" s="1"/>
      <c r="P102" s="1"/>
    </row>
    <row r="103" customFormat="false" ht="13.2" hidden="false" customHeight="false" outlineLevel="0" collapsed="false">
      <c r="C103" s="45" t="n">
        <f aca="false">C102+0.125</f>
        <v>1</v>
      </c>
      <c r="D103" s="46" t="n">
        <f aca="false">C103^2</f>
        <v>1</v>
      </c>
      <c r="E103" s="47" t="n">
        <f aca="false">C103</f>
        <v>1</v>
      </c>
      <c r="F103" s="47" t="n">
        <f aca="false">1</f>
        <v>1</v>
      </c>
      <c r="H103" s="45" t="n">
        <f aca="false">MMULT($D103:$F103,$G$90:$G$92)</f>
        <v>5</v>
      </c>
      <c r="I103" s="54" t="n">
        <f aca="false">MMULT($D103:$F103,$I$90:$I$92)</f>
        <v>1</v>
      </c>
      <c r="K103" s="1"/>
      <c r="L103" s="1"/>
      <c r="M103" s="1"/>
      <c r="N103" s="1"/>
      <c r="O103" s="1"/>
      <c r="P103" s="1"/>
    </row>
    <row r="104" customFormat="false" ht="8.5" hidden="false" customHeight="true" outlineLevel="0" collapsed="false">
      <c r="K104" s="1"/>
      <c r="L104" s="1"/>
      <c r="M104" s="1"/>
      <c r="N104" s="1"/>
      <c r="O104" s="1"/>
      <c r="P104" s="1"/>
    </row>
  </sheetData>
  <mergeCells count="30">
    <mergeCell ref="E24:G24"/>
    <mergeCell ref="I24:K24"/>
    <mergeCell ref="M24:O24"/>
    <mergeCell ref="E25:G25"/>
    <mergeCell ref="I25:K25"/>
    <mergeCell ref="M25:O25"/>
    <mergeCell ref="E26:G26"/>
    <mergeCell ref="I26:K26"/>
    <mergeCell ref="M26:O26"/>
    <mergeCell ref="I28:K28"/>
    <mergeCell ref="I29:K29"/>
    <mergeCell ref="I30:K30"/>
    <mergeCell ref="E34:G34"/>
    <mergeCell ref="I34:K34"/>
    <mergeCell ref="M34:O34"/>
    <mergeCell ref="E49:G49"/>
    <mergeCell ref="I49:K49"/>
    <mergeCell ref="M49:O49"/>
    <mergeCell ref="E50:G50"/>
    <mergeCell ref="I50:K50"/>
    <mergeCell ref="M50:O50"/>
    <mergeCell ref="E53:G53"/>
    <mergeCell ref="I53:K53"/>
    <mergeCell ref="M53:O53"/>
    <mergeCell ref="E54:G54"/>
    <mergeCell ref="I54:K54"/>
    <mergeCell ref="M54:O54"/>
    <mergeCell ref="E83:G83"/>
    <mergeCell ref="I83:K83"/>
    <mergeCell ref="M83:O8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B5F6"/>
    <pageSetUpPr fitToPage="false"/>
  </sheetPr>
  <dimension ref="B1:U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1" style="1" width="2.55"/>
    <col collapsed="false" customWidth="true" hidden="false" outlineLevel="0" max="6" min="3" style="1" width="7.66"/>
    <col collapsed="false" customWidth="true" hidden="false" outlineLevel="0" max="9" min="7" style="2" width="7.66"/>
    <col collapsed="false" customWidth="true" hidden="false" outlineLevel="0" max="10" min="10" style="1" width="7.66"/>
    <col collapsed="false" customWidth="true" hidden="false" outlineLevel="0" max="19" min="11" style="3" width="7.66"/>
    <col collapsed="false" customWidth="true" hidden="false" outlineLevel="0" max="20" min="20" style="3" width="2.55"/>
  </cols>
  <sheetData>
    <row r="1" customFormat="false" ht="8.5" hidden="false" customHeight="true" outlineLevel="0" collapsed="false"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4.15" hidden="false" customHeight="true" outlineLevel="0" collapsed="false">
      <c r="B2" s="4"/>
      <c r="C2" s="4" t="s">
        <v>73</v>
      </c>
      <c r="D2" s="4"/>
      <c r="E2" s="4"/>
      <c r="F2" s="4"/>
      <c r="G2" s="4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8.5" hidden="false" customHeight="true" outlineLevel="0" collapsed="false"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4.15" hidden="false" customHeight="true" outlineLevel="0" collapsed="false">
      <c r="C4" s="5" t="s">
        <v>1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4.15" hidden="false" customHeight="true" outlineLevel="0" collapsed="false">
      <c r="C5" s="1" t="s">
        <v>2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customFormat="false" ht="8.5" hidden="false" customHeight="true" outlineLevel="0" collapsed="false">
      <c r="K6" s="1"/>
      <c r="L6" s="1"/>
      <c r="M6" s="1"/>
      <c r="N6" s="1"/>
      <c r="O6" s="1"/>
      <c r="P6" s="1"/>
      <c r="Q6" s="1"/>
      <c r="R6" s="1"/>
      <c r="S6" s="1"/>
      <c r="T6" s="1"/>
    </row>
    <row r="7" customFormat="false" ht="14.15" hidden="false" customHeight="true" outlineLevel="0" collapsed="false">
      <c r="C7" s="5" t="s">
        <v>74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customFormat="false" ht="14.15" hidden="false" customHeight="true" outlineLevel="0" collapsed="false">
      <c r="C8" s="1" t="s">
        <v>75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customFormat="false" ht="8.5" hidden="false" customHeight="true" outlineLevel="0" collapsed="false">
      <c r="K9" s="1"/>
      <c r="L9" s="1"/>
      <c r="M9" s="1"/>
      <c r="N9" s="1"/>
      <c r="O9" s="1"/>
      <c r="P9" s="1"/>
      <c r="Q9" s="1"/>
      <c r="R9" s="1"/>
      <c r="S9" s="1"/>
      <c r="T9" s="1"/>
    </row>
    <row r="10" customFormat="false" ht="14.15" hidden="false" customHeight="true" outlineLevel="0" collapsed="false">
      <c r="C10" s="1" t="s">
        <v>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customFormat="false" ht="8.5" hidden="false" customHeight="true" outlineLevel="0" collapsed="false">
      <c r="K11" s="1"/>
      <c r="L11" s="1"/>
      <c r="M11" s="1"/>
      <c r="N11" s="1"/>
      <c r="O11" s="1"/>
      <c r="P11" s="1"/>
      <c r="Q11" s="1"/>
      <c r="R11" s="1"/>
      <c r="S11" s="1"/>
      <c r="T11" s="1"/>
    </row>
    <row r="12" customFormat="false" ht="14.15" hidden="false" customHeight="true" outlineLevel="0" collapsed="false">
      <c r="B12" s="6"/>
      <c r="C12" s="6" t="s">
        <v>6</v>
      </c>
      <c r="D12" s="6"/>
      <c r="E12" s="6"/>
      <c r="F12" s="6"/>
      <c r="G12" s="6"/>
      <c r="K12" s="1"/>
      <c r="L12" s="1"/>
      <c r="M12" s="1"/>
      <c r="N12" s="1"/>
      <c r="O12" s="1"/>
      <c r="P12" s="1"/>
      <c r="Q12" s="0"/>
      <c r="R12" s="0"/>
      <c r="S12" s="0"/>
      <c r="T12" s="0"/>
    </row>
    <row r="13" customFormat="false" ht="8.5" hidden="false" customHeight="true" outlineLevel="0" collapsed="false">
      <c r="K13" s="1"/>
      <c r="L13" s="1"/>
      <c r="M13" s="1"/>
      <c r="N13" s="1"/>
      <c r="O13" s="1"/>
      <c r="P13" s="1"/>
      <c r="Q13" s="0"/>
      <c r="R13" s="0"/>
      <c r="S13" s="0"/>
      <c r="T13" s="0"/>
    </row>
    <row r="14" customFormat="false" ht="14.15" hidden="false" customHeight="true" outlineLevel="0" collapsed="false">
      <c r="C14" s="7" t="s">
        <v>7</v>
      </c>
      <c r="D14" s="7" t="s">
        <v>8</v>
      </c>
      <c r="E14" s="8" t="s">
        <v>76</v>
      </c>
      <c r="F14" s="9"/>
      <c r="G14" s="9" t="s">
        <v>10</v>
      </c>
      <c r="H14" s="8" t="s">
        <v>77</v>
      </c>
      <c r="I14" s="9"/>
      <c r="J14" s="9" t="s">
        <v>10</v>
      </c>
      <c r="K14" s="8" t="s">
        <v>78</v>
      </c>
      <c r="L14" s="0"/>
      <c r="M14" s="9" t="s">
        <v>10</v>
      </c>
      <c r="N14" s="8" t="s">
        <v>79</v>
      </c>
      <c r="O14" s="9"/>
      <c r="P14" s="9" t="s">
        <v>10</v>
      </c>
      <c r="Q14" s="8" t="s">
        <v>80</v>
      </c>
      <c r="R14" s="0"/>
      <c r="S14" s="0"/>
      <c r="T14" s="0"/>
    </row>
    <row r="15" customFormat="false" ht="8.5" hidden="false" customHeight="true" outlineLevel="0" collapsed="false">
      <c r="K15" s="1"/>
      <c r="L15" s="1"/>
      <c r="M15" s="1"/>
      <c r="N15" s="1"/>
      <c r="O15" s="1"/>
      <c r="P15" s="1"/>
      <c r="Q15" s="0"/>
      <c r="R15" s="0"/>
      <c r="S15" s="0"/>
      <c r="T15" s="0"/>
    </row>
    <row r="16" customFormat="false" ht="14.15" hidden="false" customHeight="true" outlineLevel="0" collapsed="false">
      <c r="C16" s="1" t="s">
        <v>13</v>
      </c>
      <c r="D16" s="2" t="s">
        <v>14</v>
      </c>
      <c r="E16" s="8" t="s">
        <v>81</v>
      </c>
      <c r="F16" s="9" t="s">
        <v>82</v>
      </c>
      <c r="G16" s="9"/>
      <c r="H16" s="8" t="s">
        <v>83</v>
      </c>
      <c r="I16" s="9" t="s">
        <v>84</v>
      </c>
      <c r="J16" s="9"/>
      <c r="K16" s="8" t="s">
        <v>85</v>
      </c>
      <c r="L16" s="9" t="s">
        <v>86</v>
      </c>
      <c r="M16" s="55"/>
      <c r="N16" s="8" t="s">
        <v>87</v>
      </c>
      <c r="O16" s="9" t="s">
        <v>88</v>
      </c>
      <c r="P16" s="1"/>
      <c r="Q16" s="8" t="s">
        <v>89</v>
      </c>
      <c r="R16" s="9" t="s">
        <v>90</v>
      </c>
      <c r="S16" s="0"/>
      <c r="T16" s="0"/>
    </row>
    <row r="17" customFormat="false" ht="14.15" hidden="false" customHeight="true" outlineLevel="0" collapsed="false">
      <c r="D17" s="2"/>
      <c r="E17" s="8"/>
      <c r="F17" s="9"/>
      <c r="G17" s="9"/>
      <c r="H17" s="8"/>
      <c r="I17" s="9"/>
      <c r="J17" s="9"/>
      <c r="K17" s="8"/>
      <c r="L17" s="0"/>
      <c r="M17" s="55"/>
      <c r="N17" s="8"/>
      <c r="O17" s="9"/>
      <c r="P17" s="1"/>
      <c r="Q17" s="8"/>
      <c r="R17" s="0"/>
      <c r="S17" s="0"/>
      <c r="T17" s="0"/>
    </row>
    <row r="18" customFormat="false" ht="8.5" hidden="false" customHeight="true" outlineLevel="0" collapsed="false">
      <c r="K18" s="1"/>
      <c r="L18" s="1"/>
      <c r="M18" s="1"/>
      <c r="N18" s="1"/>
      <c r="O18" s="1"/>
      <c r="P18" s="1"/>
      <c r="Q18" s="0"/>
      <c r="R18" s="0"/>
      <c r="S18" s="0"/>
      <c r="T18" s="0"/>
    </row>
    <row r="19" customFormat="false" ht="14.15" hidden="false" customHeight="true" outlineLevel="0" collapsed="false">
      <c r="C19" s="11" t="s">
        <v>91</v>
      </c>
      <c r="D19" s="12"/>
      <c r="E19" s="12"/>
      <c r="F19" s="13"/>
      <c r="K19" s="1"/>
      <c r="L19" s="1"/>
      <c r="M19" s="1"/>
      <c r="N19" s="1"/>
      <c r="O19" s="1"/>
      <c r="P19" s="1"/>
      <c r="Q19" s="0"/>
      <c r="R19" s="0"/>
      <c r="S19" s="0"/>
      <c r="T19" s="0"/>
    </row>
    <row r="20" customFormat="false" ht="14.15" hidden="false" customHeight="true" outlineLevel="0" collapsed="false">
      <c r="C20" s="7" t="s">
        <v>22</v>
      </c>
      <c r="D20" s="7" t="s">
        <v>8</v>
      </c>
      <c r="E20" s="8" t="s">
        <v>92</v>
      </c>
      <c r="F20" s="9"/>
      <c r="G20" s="9" t="s">
        <v>10</v>
      </c>
      <c r="H20" s="8" t="s">
        <v>93</v>
      </c>
      <c r="I20" s="9"/>
      <c r="J20" s="9" t="s">
        <v>10</v>
      </c>
      <c r="K20" s="8" t="s">
        <v>94</v>
      </c>
      <c r="L20" s="0"/>
      <c r="M20" s="9" t="s">
        <v>10</v>
      </c>
      <c r="N20" s="8" t="s">
        <v>95</v>
      </c>
      <c r="O20" s="9"/>
      <c r="P20" s="9" t="s">
        <v>10</v>
      </c>
      <c r="Q20" s="8" t="s">
        <v>96</v>
      </c>
      <c r="R20" s="0"/>
      <c r="S20" s="0"/>
      <c r="T20" s="0"/>
    </row>
    <row r="21" customFormat="false" ht="14.15" hidden="false" customHeight="true" outlineLevel="0" collapsed="false">
      <c r="C21" s="7" t="s">
        <v>26</v>
      </c>
      <c r="D21" s="7" t="s">
        <v>8</v>
      </c>
      <c r="E21" s="8" t="s">
        <v>97</v>
      </c>
      <c r="F21" s="9"/>
      <c r="G21" s="9" t="s">
        <v>10</v>
      </c>
      <c r="H21" s="8" t="s">
        <v>98</v>
      </c>
      <c r="I21" s="9"/>
      <c r="J21" s="9" t="s">
        <v>10</v>
      </c>
      <c r="K21" s="8" t="s">
        <v>99</v>
      </c>
      <c r="L21" s="0"/>
      <c r="M21" s="9" t="s">
        <v>10</v>
      </c>
      <c r="N21" s="8" t="s">
        <v>100</v>
      </c>
      <c r="O21" s="9"/>
      <c r="P21" s="9" t="s">
        <v>10</v>
      </c>
      <c r="Q21" s="8" t="s">
        <v>101</v>
      </c>
      <c r="R21" s="0"/>
      <c r="S21" s="0"/>
      <c r="T21" s="0"/>
    </row>
    <row r="22" customFormat="false" ht="14.15" hidden="false" customHeight="true" outlineLevel="0" collapsed="false">
      <c r="C22" s="7" t="s">
        <v>102</v>
      </c>
      <c r="D22" s="7" t="s">
        <v>8</v>
      </c>
      <c r="E22" s="8" t="s">
        <v>103</v>
      </c>
      <c r="F22" s="9"/>
      <c r="G22" s="9" t="s">
        <v>10</v>
      </c>
      <c r="H22" s="8" t="s">
        <v>104</v>
      </c>
      <c r="I22" s="9"/>
      <c r="J22" s="9" t="s">
        <v>10</v>
      </c>
      <c r="K22" s="8" t="s">
        <v>105</v>
      </c>
      <c r="L22" s="0"/>
      <c r="M22" s="9" t="s">
        <v>10</v>
      </c>
      <c r="N22" s="8" t="s">
        <v>106</v>
      </c>
      <c r="O22" s="9"/>
      <c r="P22" s="9" t="s">
        <v>10</v>
      </c>
      <c r="Q22" s="8" t="s">
        <v>107</v>
      </c>
      <c r="R22" s="0"/>
      <c r="S22" s="0"/>
      <c r="T22" s="0"/>
    </row>
    <row r="23" customFormat="false" ht="8.5" hidden="false" customHeight="true" outlineLevel="0" collapsed="false"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4.15" hidden="false" customHeight="true" outlineLevel="0" collapsed="false">
      <c r="B24" s="6"/>
      <c r="C24" s="6" t="s">
        <v>108</v>
      </c>
      <c r="D24" s="6"/>
      <c r="E24" s="6"/>
      <c r="F24" s="2"/>
      <c r="K24" s="6" t="s">
        <v>109</v>
      </c>
      <c r="L24" s="6"/>
      <c r="M24" s="6"/>
      <c r="N24" s="6"/>
      <c r="O24" s="2"/>
      <c r="P24" s="2"/>
      <c r="Q24" s="2"/>
      <c r="R24" s="1"/>
      <c r="S24" s="1"/>
      <c r="T24" s="1"/>
    </row>
    <row r="25" customFormat="false" ht="8.5" hidden="false" customHeight="true" outlineLevel="0" collapsed="false">
      <c r="K25" s="1"/>
      <c r="L25" s="1"/>
      <c r="M25" s="1"/>
      <c r="N25" s="1"/>
      <c r="O25" s="2"/>
      <c r="P25" s="2"/>
      <c r="Q25" s="2"/>
      <c r="R25" s="1"/>
      <c r="S25" s="1"/>
      <c r="T25" s="1"/>
    </row>
    <row r="26" customFormat="false" ht="14.15" hidden="false" customHeight="true" outlineLevel="0" collapsed="false">
      <c r="C26" s="1" t="s">
        <v>110</v>
      </c>
      <c r="D26" s="7" t="s">
        <v>8</v>
      </c>
      <c r="E26" s="1" t="s">
        <v>111</v>
      </c>
      <c r="K26" s="56" t="s">
        <v>112</v>
      </c>
      <c r="L26" s="7" t="s">
        <v>8</v>
      </c>
      <c r="M26" s="1" t="s">
        <v>113</v>
      </c>
      <c r="N26" s="1"/>
      <c r="O26" s="2"/>
      <c r="P26" s="2"/>
      <c r="Q26" s="2"/>
      <c r="R26" s="1"/>
      <c r="S26" s="1"/>
      <c r="T26" s="1"/>
    </row>
    <row r="27" customFormat="false" ht="14.15" hidden="false" customHeight="true" outlineLevel="0" collapsed="false">
      <c r="C27" s="1" t="s">
        <v>114</v>
      </c>
      <c r="D27" s="7" t="s">
        <v>8</v>
      </c>
      <c r="E27" s="1" t="s">
        <v>115</v>
      </c>
      <c r="K27" s="56" t="s">
        <v>116</v>
      </c>
      <c r="L27" s="7" t="s">
        <v>8</v>
      </c>
      <c r="M27" s="1" t="s">
        <v>117</v>
      </c>
      <c r="N27" s="1"/>
      <c r="O27" s="2"/>
      <c r="P27" s="2"/>
      <c r="Q27" s="2"/>
      <c r="R27" s="1"/>
      <c r="S27" s="1"/>
      <c r="T27" s="1"/>
    </row>
    <row r="28" customFormat="false" ht="14.15" hidden="false" customHeight="true" outlineLevel="0" collapsed="false">
      <c r="C28" s="1" t="s">
        <v>118</v>
      </c>
      <c r="D28" s="7" t="s">
        <v>8</v>
      </c>
      <c r="E28" s="1" t="s">
        <v>119</v>
      </c>
      <c r="K28" s="56" t="s">
        <v>20</v>
      </c>
      <c r="L28" s="7" t="s">
        <v>8</v>
      </c>
      <c r="M28" s="1" t="s">
        <v>120</v>
      </c>
      <c r="N28" s="1"/>
      <c r="O28" s="2"/>
      <c r="P28" s="2"/>
      <c r="Q28" s="2"/>
      <c r="R28" s="1"/>
      <c r="S28" s="1"/>
      <c r="T28" s="1"/>
    </row>
    <row r="29" customFormat="false" ht="14.15" hidden="false" customHeight="true" outlineLevel="0" collapsed="false">
      <c r="C29" s="1" t="s">
        <v>121</v>
      </c>
      <c r="D29" s="7" t="s">
        <v>8</v>
      </c>
      <c r="E29" s="1" t="s">
        <v>122</v>
      </c>
      <c r="K29" s="56" t="s">
        <v>123</v>
      </c>
      <c r="L29" s="7" t="s">
        <v>8</v>
      </c>
      <c r="M29" s="1" t="s">
        <v>124</v>
      </c>
      <c r="N29" s="1"/>
      <c r="O29" s="2"/>
      <c r="P29" s="2"/>
      <c r="Q29" s="2"/>
      <c r="R29" s="1"/>
      <c r="S29" s="1"/>
      <c r="T29" s="1"/>
    </row>
    <row r="30" customFormat="false" ht="14.15" hidden="false" customHeight="true" outlineLevel="0" collapsed="false">
      <c r="C30" s="1" t="s">
        <v>112</v>
      </c>
      <c r="D30" s="7" t="s">
        <v>8</v>
      </c>
      <c r="E30" s="1" t="s">
        <v>112</v>
      </c>
      <c r="K30" s="56" t="s">
        <v>125</v>
      </c>
      <c r="L30" s="7" t="s">
        <v>8</v>
      </c>
      <c r="M30" s="1" t="s">
        <v>126</v>
      </c>
      <c r="N30" s="1"/>
      <c r="O30" s="2"/>
      <c r="P30" s="2"/>
      <c r="Q30" s="2"/>
      <c r="R30" s="1"/>
      <c r="S30" s="1"/>
      <c r="T30" s="1"/>
    </row>
    <row r="31" customFormat="false" ht="8.5" hidden="false" customHeight="true" outlineLevel="0" collapsed="false">
      <c r="K31" s="1"/>
      <c r="L31" s="1"/>
      <c r="M31" s="1"/>
      <c r="N31" s="1"/>
      <c r="O31" s="2"/>
      <c r="P31" s="2"/>
      <c r="Q31" s="2"/>
      <c r="R31" s="1"/>
      <c r="S31" s="1"/>
      <c r="T31" s="1"/>
    </row>
    <row r="32" customFormat="false" ht="14.15" hidden="false" customHeight="true" outlineLevel="0" collapsed="false">
      <c r="B32" s="6"/>
      <c r="C32" s="6" t="s">
        <v>30</v>
      </c>
      <c r="D32" s="6"/>
      <c r="E32" s="6"/>
      <c r="F32" s="2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8.5" hidden="false" customHeight="true" outlineLevel="0" collapsed="false"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4.15" hidden="false" customHeight="true" outlineLevel="0" collapsed="false">
      <c r="C34" s="2" t="s">
        <v>7</v>
      </c>
      <c r="D34" s="2" t="s">
        <v>8</v>
      </c>
      <c r="E34" s="14" t="s">
        <v>112</v>
      </c>
      <c r="F34" s="57" t="s">
        <v>116</v>
      </c>
      <c r="G34" s="57" t="s">
        <v>20</v>
      </c>
      <c r="H34" s="2" t="s">
        <v>40</v>
      </c>
      <c r="I34" s="15" t="n">
        <v>1</v>
      </c>
      <c r="J34" s="2" t="s">
        <v>41</v>
      </c>
      <c r="K34" s="16" t="s">
        <v>113</v>
      </c>
      <c r="L34" s="16"/>
      <c r="M34" s="16"/>
      <c r="N34" s="16"/>
      <c r="O34" s="16"/>
      <c r="P34" s="2" t="s">
        <v>41</v>
      </c>
      <c r="Q34" s="16" t="s">
        <v>44</v>
      </c>
      <c r="R34" s="1"/>
      <c r="S34" s="1"/>
      <c r="T34" s="1"/>
    </row>
    <row r="35" customFormat="false" ht="14.15" hidden="false" customHeight="true" outlineLevel="0" collapsed="false">
      <c r="C35" s="2"/>
      <c r="D35" s="2"/>
      <c r="E35" s="2"/>
      <c r="F35" s="2"/>
      <c r="H35" s="1"/>
      <c r="I35" s="1"/>
      <c r="J35" s="2"/>
      <c r="K35" s="16" t="s">
        <v>117</v>
      </c>
      <c r="L35" s="16"/>
      <c r="M35" s="16"/>
      <c r="N35" s="16"/>
      <c r="O35" s="16"/>
      <c r="P35" s="1"/>
      <c r="Q35" s="16" t="s">
        <v>49</v>
      </c>
      <c r="R35" s="1"/>
      <c r="S35" s="1"/>
      <c r="T35" s="1"/>
    </row>
    <row r="36" customFormat="false" ht="14.15" hidden="false" customHeight="true" outlineLevel="0" collapsed="false">
      <c r="C36" s="2"/>
      <c r="D36" s="2"/>
      <c r="E36" s="2"/>
      <c r="F36" s="2"/>
      <c r="H36" s="1"/>
      <c r="I36" s="1"/>
      <c r="J36" s="2"/>
      <c r="K36" s="16" t="s">
        <v>120</v>
      </c>
      <c r="L36" s="16"/>
      <c r="M36" s="16"/>
      <c r="N36" s="16"/>
      <c r="O36" s="16"/>
      <c r="P36" s="1"/>
      <c r="Q36" s="16" t="s">
        <v>50</v>
      </c>
      <c r="R36" s="1"/>
      <c r="S36" s="1"/>
      <c r="T36" s="1"/>
    </row>
    <row r="37" customFormat="false" ht="14.15" hidden="false" customHeight="true" outlineLevel="0" collapsed="false">
      <c r="C37" s="2"/>
      <c r="D37" s="2"/>
      <c r="E37" s="2"/>
      <c r="F37" s="2"/>
      <c r="H37" s="1"/>
      <c r="I37" s="1"/>
      <c r="J37" s="2"/>
      <c r="K37" s="16" t="s">
        <v>124</v>
      </c>
      <c r="L37" s="16"/>
      <c r="M37" s="16"/>
      <c r="N37" s="16"/>
      <c r="O37" s="16"/>
      <c r="P37" s="1"/>
      <c r="Q37" s="16" t="s">
        <v>127</v>
      </c>
      <c r="R37" s="1"/>
      <c r="S37" s="1"/>
      <c r="T37" s="1"/>
    </row>
    <row r="38" customFormat="false" ht="14.15" hidden="false" customHeight="true" outlineLevel="0" collapsed="false">
      <c r="C38" s="2"/>
      <c r="D38" s="2"/>
      <c r="E38" s="2"/>
      <c r="F38" s="2"/>
      <c r="H38" s="1"/>
      <c r="I38" s="1"/>
      <c r="J38" s="2"/>
      <c r="K38" s="16" t="s">
        <v>126</v>
      </c>
      <c r="L38" s="16"/>
      <c r="M38" s="16"/>
      <c r="N38" s="16"/>
      <c r="O38" s="16"/>
      <c r="P38" s="1"/>
      <c r="Q38" s="16" t="s">
        <v>128</v>
      </c>
      <c r="R38" s="1"/>
      <c r="S38" s="1"/>
      <c r="T38" s="1"/>
    </row>
    <row r="39" customFormat="false" ht="8.5" hidden="false" customHeight="true" outlineLevel="0" collapsed="false">
      <c r="C39" s="2"/>
      <c r="D39" s="2"/>
      <c r="E39" s="2"/>
      <c r="F39" s="2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4.15" hidden="false" customHeight="true" outlineLevel="0" collapsed="false">
      <c r="H40" s="1"/>
      <c r="I40" s="1"/>
      <c r="J40" s="2"/>
      <c r="K40" s="17"/>
      <c r="L40" s="18" t="s">
        <v>45</v>
      </c>
      <c r="M40" s="18"/>
      <c r="N40" s="1"/>
      <c r="O40" s="1"/>
      <c r="P40" s="1"/>
      <c r="Q40" s="1"/>
      <c r="R40" s="1"/>
      <c r="S40" s="1"/>
      <c r="T40" s="1"/>
    </row>
    <row r="41" customFormat="false" ht="8.5" hidden="false" customHeight="true" outlineLevel="0" collapsed="false">
      <c r="H41" s="1"/>
      <c r="I41" s="1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4.15" hidden="false" customHeight="true" outlineLevel="0" collapsed="false">
      <c r="E42" s="19" t="s">
        <v>46</v>
      </c>
      <c r="F42" s="19"/>
      <c r="G42" s="19"/>
      <c r="H42" s="1"/>
      <c r="I42" s="1"/>
      <c r="J42" s="2"/>
      <c r="K42" s="19" t="s">
        <v>47</v>
      </c>
      <c r="L42" s="19"/>
      <c r="M42" s="19"/>
      <c r="N42" s="1"/>
      <c r="O42" s="1"/>
      <c r="P42" s="1"/>
      <c r="Q42" s="19" t="s">
        <v>48</v>
      </c>
      <c r="R42" s="19"/>
      <c r="S42" s="19"/>
      <c r="T42" s="1"/>
    </row>
    <row r="43" customFormat="false" ht="8.5" hidden="false" customHeight="true" outlineLevel="0" collapsed="false">
      <c r="H43" s="1"/>
      <c r="I43" s="1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4.15" hidden="false" customHeight="true" outlineLevel="0" collapsed="false">
      <c r="C44" s="2" t="s">
        <v>7</v>
      </c>
      <c r="D44" s="2" t="s">
        <v>8</v>
      </c>
      <c r="E44" s="14" t="s">
        <v>112</v>
      </c>
      <c r="F44" s="57" t="s">
        <v>116</v>
      </c>
      <c r="G44" s="57" t="s">
        <v>20</v>
      </c>
      <c r="H44" s="2" t="s">
        <v>40</v>
      </c>
      <c r="I44" s="15" t="n">
        <v>1</v>
      </c>
      <c r="J44" s="2" t="s">
        <v>41</v>
      </c>
      <c r="K44" s="14" t="n">
        <v>1</v>
      </c>
      <c r="L44" s="2" t="n">
        <v>-4</v>
      </c>
      <c r="M44" s="2" t="n">
        <v>6</v>
      </c>
      <c r="N44" s="2" t="n">
        <v>-4</v>
      </c>
      <c r="O44" s="15" t="n">
        <v>1</v>
      </c>
      <c r="P44" s="2" t="s">
        <v>41</v>
      </c>
      <c r="Q44" s="16" t="s">
        <v>44</v>
      </c>
      <c r="R44" s="1"/>
      <c r="S44" s="1"/>
      <c r="T44" s="1"/>
    </row>
    <row r="45" customFormat="false" ht="14.15" hidden="false" customHeight="true" outlineLevel="0" collapsed="false">
      <c r="C45" s="2"/>
      <c r="D45" s="2"/>
      <c r="E45" s="2"/>
      <c r="F45" s="2"/>
      <c r="J45" s="2"/>
      <c r="K45" s="14" t="n">
        <v>-4</v>
      </c>
      <c r="L45" s="2" t="n">
        <v>12</v>
      </c>
      <c r="M45" s="2" t="n">
        <v>-12</v>
      </c>
      <c r="N45" s="2" t="n">
        <v>4</v>
      </c>
      <c r="O45" s="15" t="n">
        <v>0</v>
      </c>
      <c r="P45" s="1"/>
      <c r="Q45" s="16" t="s">
        <v>49</v>
      </c>
      <c r="R45" s="1"/>
      <c r="S45" s="1"/>
      <c r="T45" s="1"/>
    </row>
    <row r="46" customFormat="false" ht="14.15" hidden="false" customHeight="true" outlineLevel="0" collapsed="false">
      <c r="C46" s="2"/>
      <c r="D46" s="2"/>
      <c r="E46" s="2"/>
      <c r="F46" s="2"/>
      <c r="J46" s="2"/>
      <c r="K46" s="14" t="n">
        <v>6</v>
      </c>
      <c r="L46" s="2" t="n">
        <v>-12</v>
      </c>
      <c r="M46" s="2" t="n">
        <v>6</v>
      </c>
      <c r="N46" s="2" t="n">
        <v>0</v>
      </c>
      <c r="O46" s="15" t="n">
        <v>0</v>
      </c>
      <c r="P46" s="1"/>
      <c r="Q46" s="16" t="s">
        <v>50</v>
      </c>
      <c r="R46" s="1"/>
      <c r="S46" s="1"/>
      <c r="T46" s="1"/>
    </row>
    <row r="47" customFormat="false" ht="14.15" hidden="false" customHeight="true" outlineLevel="0" collapsed="false">
      <c r="C47" s="2"/>
      <c r="D47" s="2"/>
      <c r="E47" s="2"/>
      <c r="F47" s="2"/>
      <c r="J47" s="2"/>
      <c r="K47" s="14" t="n">
        <v>-4</v>
      </c>
      <c r="L47" s="2" t="n">
        <v>4</v>
      </c>
      <c r="M47" s="2" t="n">
        <v>0</v>
      </c>
      <c r="N47" s="2" t="n">
        <v>0</v>
      </c>
      <c r="O47" s="15" t="n">
        <v>0</v>
      </c>
      <c r="P47" s="1"/>
      <c r="Q47" s="16" t="s">
        <v>127</v>
      </c>
      <c r="R47" s="1"/>
      <c r="S47" s="1"/>
      <c r="T47" s="1"/>
    </row>
    <row r="48" customFormat="false" ht="14.15" hidden="false" customHeight="true" outlineLevel="0" collapsed="false">
      <c r="C48" s="2"/>
      <c r="D48" s="2"/>
      <c r="E48" s="2"/>
      <c r="F48" s="2"/>
      <c r="H48" s="1"/>
      <c r="I48" s="1"/>
      <c r="J48" s="2"/>
      <c r="K48" s="14" t="n">
        <v>1</v>
      </c>
      <c r="L48" s="2" t="n">
        <v>0</v>
      </c>
      <c r="M48" s="2" t="n">
        <v>0</v>
      </c>
      <c r="N48" s="2" t="n">
        <v>0</v>
      </c>
      <c r="O48" s="15" t="n">
        <v>0</v>
      </c>
      <c r="P48" s="1"/>
      <c r="Q48" s="16" t="s">
        <v>128</v>
      </c>
      <c r="R48" s="1"/>
      <c r="S48" s="1"/>
      <c r="T48" s="1"/>
    </row>
    <row r="49" customFormat="false" ht="8.5" hidden="false" customHeight="true" outlineLevel="0" collapsed="false"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4.15" hidden="false" customHeight="true" outlineLevel="0" collapsed="false">
      <c r="B50" s="6"/>
      <c r="C50" s="6" t="s">
        <v>51</v>
      </c>
      <c r="D50" s="6"/>
      <c r="E50" s="2"/>
      <c r="F50" s="2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8.5" hidden="false" customHeight="true" outlineLevel="0" collapsed="false"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4.15" hidden="false" customHeight="true" outlineLevel="0" collapsed="false">
      <c r="C52" s="20" t="s">
        <v>52</v>
      </c>
      <c r="D52" s="21" t="s">
        <v>53</v>
      </c>
      <c r="E52" s="58" t="s">
        <v>54</v>
      </c>
      <c r="F52" s="59" t="s">
        <v>129</v>
      </c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14.15" hidden="false" customHeight="true" outlineLevel="0" collapsed="false">
      <c r="C53" s="23" t="s">
        <v>44</v>
      </c>
      <c r="D53" s="24" t="n">
        <v>0</v>
      </c>
      <c r="E53" s="60" t="n">
        <v>0</v>
      </c>
      <c r="F53" s="60" t="n">
        <v>1</v>
      </c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4.15" hidden="false" customHeight="true" outlineLevel="0" collapsed="false">
      <c r="C54" s="26" t="s">
        <v>49</v>
      </c>
      <c r="D54" s="27" t="n">
        <v>0</v>
      </c>
      <c r="E54" s="61" t="n">
        <v>4</v>
      </c>
      <c r="F54" s="61" t="n">
        <v>1</v>
      </c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4.15" hidden="false" customHeight="true" outlineLevel="0" collapsed="false">
      <c r="C55" s="26" t="s">
        <v>50</v>
      </c>
      <c r="D55" s="27" t="n">
        <v>4</v>
      </c>
      <c r="E55" s="61" t="n">
        <v>0</v>
      </c>
      <c r="F55" s="61" t="n">
        <v>1</v>
      </c>
      <c r="K55" s="1"/>
      <c r="L55" s="1"/>
      <c r="M55" s="1"/>
      <c r="N55" s="1"/>
      <c r="O55" s="1"/>
      <c r="P55" s="1"/>
      <c r="Q55" s="1"/>
      <c r="R55" s="1"/>
      <c r="S55" s="1"/>
      <c r="T55" s="1"/>
    </row>
    <row r="56" customFormat="false" ht="14.15" hidden="false" customHeight="true" outlineLevel="0" collapsed="false">
      <c r="C56" s="26" t="s">
        <v>127</v>
      </c>
      <c r="D56" s="27" t="n">
        <v>4</v>
      </c>
      <c r="E56" s="61" t="n">
        <v>4</v>
      </c>
      <c r="F56" s="61" t="n">
        <v>1</v>
      </c>
      <c r="K56" s="1"/>
      <c r="L56" s="1"/>
      <c r="M56" s="1"/>
      <c r="N56" s="1"/>
      <c r="O56" s="1"/>
      <c r="P56" s="1"/>
      <c r="Q56" s="1"/>
      <c r="R56" s="1"/>
      <c r="S56" s="1"/>
      <c r="T56" s="1"/>
    </row>
    <row r="57" customFormat="false" ht="14.15" hidden="false" customHeight="true" outlineLevel="0" collapsed="false">
      <c r="C57" s="29" t="s">
        <v>128</v>
      </c>
      <c r="D57" s="30" t="n">
        <v>5</v>
      </c>
      <c r="E57" s="62" t="n">
        <v>4</v>
      </c>
      <c r="F57" s="62" t="n"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</row>
    <row r="58" customFormat="false" ht="8.5" hidden="false" customHeight="true" outlineLevel="0" collapsed="false">
      <c r="K58" s="1"/>
      <c r="L58" s="1"/>
      <c r="M58" s="1"/>
      <c r="N58" s="1"/>
      <c r="O58" s="1"/>
      <c r="P58" s="1"/>
      <c r="Q58" s="1"/>
      <c r="R58" s="1"/>
      <c r="S58" s="1"/>
      <c r="T58" s="1"/>
    </row>
    <row r="59" customFormat="false" ht="14.15" hidden="false" customHeight="true" outlineLevel="0" collapsed="false">
      <c r="B59" s="6"/>
      <c r="C59" s="6" t="s">
        <v>55</v>
      </c>
      <c r="D59" s="6"/>
      <c r="E59" s="2"/>
      <c r="F59" s="2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customFormat="false" ht="8.5" hidden="false" customHeight="true" outlineLevel="0" collapsed="false">
      <c r="K60" s="1"/>
      <c r="L60" s="1"/>
      <c r="M60" s="1"/>
      <c r="N60" s="1"/>
      <c r="O60" s="1"/>
      <c r="P60" s="1"/>
      <c r="Q60" s="1"/>
      <c r="R60" s="1"/>
      <c r="S60" s="1"/>
      <c r="T60" s="1"/>
    </row>
    <row r="61" customFormat="false" ht="14.15" hidden="false" customHeight="true" outlineLevel="0" collapsed="false">
      <c r="C61" s="7" t="s">
        <v>22</v>
      </c>
      <c r="D61" s="7" t="s">
        <v>8</v>
      </c>
      <c r="E61" s="9" t="s">
        <v>130</v>
      </c>
      <c r="F61" s="9"/>
      <c r="G61" s="9" t="s">
        <v>10</v>
      </c>
      <c r="H61" s="9" t="s">
        <v>131</v>
      </c>
      <c r="I61" s="9"/>
      <c r="J61" s="9" t="s">
        <v>10</v>
      </c>
      <c r="K61" s="9" t="s">
        <v>132</v>
      </c>
      <c r="L61" s="9"/>
      <c r="M61" s="9" t="s">
        <v>10</v>
      </c>
      <c r="N61" s="9" t="s">
        <v>133</v>
      </c>
      <c r="O61" s="9"/>
      <c r="P61" s="33" t="s">
        <v>10</v>
      </c>
      <c r="Q61" s="9" t="s">
        <v>134</v>
      </c>
      <c r="R61" s="1"/>
      <c r="S61" s="1"/>
      <c r="T61" s="7"/>
      <c r="U61" s="63"/>
    </row>
    <row r="62" customFormat="false" ht="14.15" hidden="false" customHeight="true" outlineLevel="0" collapsed="false">
      <c r="C62" s="7"/>
      <c r="D62" s="7" t="s">
        <v>8</v>
      </c>
      <c r="E62" s="9" t="s">
        <v>135</v>
      </c>
      <c r="F62" s="9"/>
      <c r="G62" s="9" t="s">
        <v>10</v>
      </c>
      <c r="H62" s="9" t="s">
        <v>136</v>
      </c>
      <c r="I62" s="9"/>
      <c r="J62" s="9" t="s">
        <v>10</v>
      </c>
      <c r="K62" s="9" t="s">
        <v>137</v>
      </c>
      <c r="L62" s="9"/>
      <c r="M62" s="9" t="s">
        <v>10</v>
      </c>
      <c r="N62" s="9" t="s">
        <v>138</v>
      </c>
      <c r="O62" s="9"/>
      <c r="P62" s="33" t="s">
        <v>10</v>
      </c>
      <c r="Q62" s="9" t="s">
        <v>139</v>
      </c>
      <c r="R62" s="1"/>
      <c r="S62" s="1"/>
      <c r="T62" s="7"/>
      <c r="U62" s="63"/>
    </row>
    <row r="63" customFormat="false" ht="14.15" hidden="false" customHeight="true" outlineLevel="0" collapsed="false">
      <c r="C63" s="7"/>
      <c r="D63" s="2" t="s">
        <v>8</v>
      </c>
      <c r="E63" s="9" t="s">
        <v>140</v>
      </c>
      <c r="G63" s="7"/>
      <c r="H63" s="1"/>
      <c r="I63" s="1"/>
      <c r="J63" s="7"/>
      <c r="K63" s="7" t="s">
        <v>60</v>
      </c>
      <c r="L63" s="7"/>
      <c r="M63" s="7"/>
      <c r="N63" s="1"/>
      <c r="O63" s="1"/>
      <c r="P63" s="1"/>
      <c r="Q63" s="1"/>
      <c r="R63" s="1"/>
      <c r="S63" s="1"/>
      <c r="T63" s="1"/>
    </row>
    <row r="64" customFormat="false" ht="8.5" hidden="false" customHeight="true" outlineLevel="0" collapsed="false">
      <c r="C64" s="7"/>
      <c r="D64" s="2"/>
      <c r="E64" s="7"/>
      <c r="F64" s="7"/>
      <c r="G64" s="7"/>
      <c r="H64" s="7"/>
      <c r="I64" s="7"/>
      <c r="J64" s="7"/>
      <c r="K64" s="7"/>
      <c r="L64" s="7"/>
      <c r="M64" s="7"/>
      <c r="N64" s="1"/>
      <c r="O64" s="1"/>
      <c r="P64" s="1"/>
      <c r="Q64" s="1"/>
      <c r="R64" s="1"/>
      <c r="S64" s="1"/>
      <c r="T64" s="1"/>
    </row>
    <row r="65" customFormat="false" ht="14.15" hidden="false" customHeight="true" outlineLevel="0" collapsed="false">
      <c r="C65" s="7" t="s">
        <v>26</v>
      </c>
      <c r="D65" s="7" t="s">
        <v>8</v>
      </c>
      <c r="E65" s="9" t="s">
        <v>141</v>
      </c>
      <c r="F65" s="9"/>
      <c r="G65" s="9" t="s">
        <v>10</v>
      </c>
      <c r="H65" s="9" t="s">
        <v>142</v>
      </c>
      <c r="I65" s="9"/>
      <c r="J65" s="9" t="s">
        <v>10</v>
      </c>
      <c r="K65" s="9" t="s">
        <v>143</v>
      </c>
      <c r="L65" s="9"/>
      <c r="M65" s="9" t="s">
        <v>10</v>
      </c>
      <c r="N65" s="9" t="s">
        <v>144</v>
      </c>
      <c r="O65" s="9"/>
      <c r="P65" s="33" t="s">
        <v>10</v>
      </c>
      <c r="Q65" s="9" t="s">
        <v>145</v>
      </c>
      <c r="R65" s="1"/>
      <c r="S65" s="1"/>
      <c r="T65" s="7"/>
      <c r="U65" s="63"/>
    </row>
    <row r="66" customFormat="false" ht="14.15" hidden="false" customHeight="true" outlineLevel="0" collapsed="false">
      <c r="C66" s="7"/>
      <c r="D66" s="7" t="s">
        <v>8</v>
      </c>
      <c r="E66" s="9" t="s">
        <v>135</v>
      </c>
      <c r="F66" s="9"/>
      <c r="G66" s="9" t="s">
        <v>10</v>
      </c>
      <c r="H66" s="9" t="s">
        <v>146</v>
      </c>
      <c r="I66" s="9"/>
      <c r="J66" s="9" t="s">
        <v>10</v>
      </c>
      <c r="K66" s="9" t="s">
        <v>147</v>
      </c>
      <c r="L66" s="9"/>
      <c r="M66" s="9" t="s">
        <v>10</v>
      </c>
      <c r="N66" s="9" t="s">
        <v>138</v>
      </c>
      <c r="O66" s="9"/>
      <c r="P66" s="33" t="s">
        <v>10</v>
      </c>
      <c r="Q66" s="9" t="s">
        <v>148</v>
      </c>
      <c r="R66" s="1"/>
      <c r="S66" s="1"/>
      <c r="T66" s="7"/>
      <c r="U66" s="63"/>
    </row>
    <row r="67" customFormat="false" ht="14.15" hidden="false" customHeight="true" outlineLevel="0" collapsed="false">
      <c r="C67" s="7"/>
      <c r="D67" s="2" t="s">
        <v>8</v>
      </c>
      <c r="E67" s="9" t="s">
        <v>149</v>
      </c>
      <c r="G67" s="7"/>
      <c r="H67" s="1"/>
      <c r="I67" s="1"/>
      <c r="J67" s="7"/>
      <c r="K67" s="7" t="s">
        <v>60</v>
      </c>
      <c r="L67" s="7"/>
      <c r="M67" s="7"/>
      <c r="N67" s="7"/>
      <c r="O67" s="1"/>
      <c r="P67" s="1"/>
      <c r="Q67" s="1"/>
      <c r="R67" s="1"/>
      <c r="S67" s="1"/>
      <c r="T67" s="1"/>
    </row>
    <row r="68" customFormat="false" ht="8.5" hidden="false" customHeight="true" outlineLevel="0" collapsed="false">
      <c r="C68" s="7"/>
      <c r="D68" s="2"/>
      <c r="E68" s="9"/>
      <c r="G68" s="7"/>
      <c r="H68" s="1"/>
      <c r="I68" s="1"/>
      <c r="J68" s="7"/>
      <c r="K68" s="7"/>
      <c r="L68" s="7"/>
      <c r="M68" s="7"/>
      <c r="N68" s="7"/>
      <c r="O68" s="1"/>
      <c r="P68" s="1"/>
      <c r="Q68" s="1"/>
      <c r="R68" s="1"/>
      <c r="S68" s="1"/>
      <c r="T68" s="1"/>
    </row>
    <row r="69" customFormat="false" ht="14.15" hidden="false" customHeight="true" outlineLevel="0" collapsed="false">
      <c r="C69" s="7" t="s">
        <v>102</v>
      </c>
      <c r="D69" s="2" t="s">
        <v>8</v>
      </c>
      <c r="E69" s="9" t="s">
        <v>150</v>
      </c>
      <c r="G69" s="7"/>
      <c r="H69" s="1"/>
      <c r="I69" s="1"/>
      <c r="J69" s="7"/>
      <c r="K69" s="7" t="s">
        <v>151</v>
      </c>
      <c r="L69" s="7"/>
      <c r="M69" s="7"/>
      <c r="N69" s="7"/>
      <c r="O69" s="1"/>
      <c r="P69" s="1"/>
      <c r="Q69" s="1"/>
      <c r="R69" s="1"/>
      <c r="S69" s="1"/>
      <c r="T69" s="1"/>
    </row>
    <row r="70" customFormat="false" ht="8.5" hidden="false" customHeight="true" outlineLevel="0" collapsed="false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1"/>
      <c r="Q70" s="1"/>
      <c r="R70" s="1"/>
      <c r="S70" s="1"/>
      <c r="T70" s="1"/>
    </row>
    <row r="71" customFormat="false" ht="14.15" hidden="false" customHeight="true" outlineLevel="0" collapsed="false">
      <c r="C71" s="1" t="s">
        <v>5</v>
      </c>
      <c r="K71" s="1"/>
      <c r="L71" s="1"/>
      <c r="M71" s="1"/>
      <c r="N71" s="1"/>
      <c r="O71" s="1"/>
      <c r="P71" s="1"/>
      <c r="Q71" s="1"/>
      <c r="R71" s="1"/>
      <c r="S71" s="1"/>
      <c r="T71" s="1"/>
    </row>
    <row r="72" customFormat="false" ht="8.5" hidden="false" customHeight="true" outlineLevel="0" collapsed="false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1"/>
      <c r="Q72" s="1"/>
      <c r="R72" s="1"/>
      <c r="S72" s="1"/>
      <c r="T72" s="1"/>
    </row>
    <row r="73" customFormat="false" ht="14.15" hidden="false" customHeight="true" outlineLevel="0" collapsed="false">
      <c r="B73" s="6"/>
      <c r="C73" s="6" t="s">
        <v>65</v>
      </c>
      <c r="D73" s="6"/>
      <c r="E73" s="6"/>
      <c r="F73" s="6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customFormat="false" ht="8.5" hidden="false" customHeight="true" outlineLevel="0" collapsed="false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1"/>
      <c r="Q74" s="1"/>
      <c r="R74" s="1"/>
      <c r="S74" s="1"/>
      <c r="T74" s="1"/>
    </row>
    <row r="75" customFormat="false" ht="14.15" hidden="false" customHeight="true" outlineLevel="0" collapsed="false">
      <c r="C75" s="2" t="s">
        <v>40</v>
      </c>
      <c r="D75" s="2" t="s">
        <v>8</v>
      </c>
      <c r="E75" s="33" t="s">
        <v>66</v>
      </c>
      <c r="F75" s="2"/>
      <c r="J75" s="2"/>
      <c r="K75" s="2"/>
      <c r="L75" s="2"/>
      <c r="M75" s="2"/>
      <c r="N75" s="2"/>
      <c r="O75" s="7"/>
      <c r="P75" s="1"/>
      <c r="Q75" s="1"/>
      <c r="R75" s="1"/>
      <c r="S75" s="1"/>
      <c r="T75" s="1"/>
    </row>
    <row r="76" customFormat="false" ht="14.15" hidden="false" customHeight="true" outlineLevel="0" collapsed="false">
      <c r="C76" s="2" t="s">
        <v>67</v>
      </c>
      <c r="D76" s="2" t="s">
        <v>8</v>
      </c>
      <c r="E76" s="9" t="s">
        <v>140</v>
      </c>
      <c r="F76" s="2"/>
      <c r="H76" s="2" t="s">
        <v>8</v>
      </c>
      <c r="I76" s="9" t="s">
        <v>152</v>
      </c>
      <c r="K76" s="1"/>
      <c r="L76" s="1"/>
      <c r="M76" s="1"/>
      <c r="N76" s="2" t="s">
        <v>8</v>
      </c>
      <c r="O76" s="64" t="n">
        <v>2.8125</v>
      </c>
      <c r="P76" s="64"/>
      <c r="Q76" s="1"/>
      <c r="R76" s="1"/>
      <c r="S76" s="1"/>
      <c r="T76" s="1"/>
    </row>
    <row r="77" customFormat="false" ht="14.15" hidden="false" customHeight="true" outlineLevel="0" collapsed="false">
      <c r="C77" s="2" t="s">
        <v>68</v>
      </c>
      <c r="D77" s="2" t="s">
        <v>8</v>
      </c>
      <c r="E77" s="9" t="s">
        <v>149</v>
      </c>
      <c r="F77" s="2"/>
      <c r="H77" s="2" t="s">
        <v>8</v>
      </c>
      <c r="I77" s="9" t="s">
        <v>153</v>
      </c>
      <c r="K77" s="1"/>
      <c r="L77" s="1"/>
      <c r="M77" s="1"/>
      <c r="N77" s="2" t="s">
        <v>8</v>
      </c>
      <c r="O77" s="64" t="n">
        <v>2.25</v>
      </c>
      <c r="P77" s="64"/>
      <c r="Q77" s="1"/>
      <c r="R77" s="1"/>
      <c r="S77" s="1"/>
      <c r="T77" s="1"/>
    </row>
    <row r="78" customFormat="false" ht="14.15" hidden="false" customHeight="true" outlineLevel="0" collapsed="false">
      <c r="C78" s="2" t="s">
        <v>154</v>
      </c>
      <c r="D78" s="2" t="s">
        <v>8</v>
      </c>
      <c r="E78" s="33" t="n">
        <v>1</v>
      </c>
      <c r="F78" s="2"/>
      <c r="H78" s="1"/>
      <c r="J78" s="33"/>
      <c r="K78" s="1"/>
      <c r="L78" s="1"/>
      <c r="M78" s="1"/>
      <c r="N78" s="2" t="s">
        <v>8</v>
      </c>
      <c r="O78" s="64" t="n">
        <v>1</v>
      </c>
      <c r="P78" s="64"/>
      <c r="Q78" s="1"/>
      <c r="R78" s="1"/>
      <c r="S78" s="1"/>
      <c r="T78" s="1"/>
    </row>
    <row r="79" customFormat="false" ht="8.5" hidden="false" customHeight="true" outlineLevel="0" collapsed="false">
      <c r="K79" s="1"/>
      <c r="L79" s="1"/>
      <c r="M79" s="1"/>
      <c r="N79" s="1"/>
      <c r="O79" s="1"/>
      <c r="P79" s="1"/>
      <c r="Q79" s="1"/>
      <c r="R79" s="1"/>
      <c r="S79" s="1"/>
      <c r="T79" s="1"/>
    </row>
    <row r="80" customFormat="false" ht="14.15" hidden="false" customHeight="true" outlineLevel="0" collapsed="false">
      <c r="B80" s="6"/>
      <c r="C80" s="6" t="s">
        <v>69</v>
      </c>
      <c r="D80" s="6"/>
      <c r="E80" s="6"/>
      <c r="F80" s="6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customFormat="false" ht="8.5" hidden="false" customHeight="true" outlineLevel="0" collapsed="false">
      <c r="K81" s="1"/>
      <c r="L81" s="1"/>
      <c r="M81" s="1"/>
      <c r="N81" s="1"/>
      <c r="O81" s="1"/>
      <c r="P81" s="1"/>
      <c r="Q81" s="1"/>
      <c r="R81" s="1"/>
      <c r="S81" s="1"/>
      <c r="T81" s="1"/>
    </row>
    <row r="82" customFormat="false" ht="14.15" hidden="false" customHeight="true" outlineLevel="0" collapsed="false">
      <c r="C82" s="35" t="s">
        <v>22</v>
      </c>
      <c r="D82" s="2" t="s">
        <v>8</v>
      </c>
      <c r="E82" s="9" t="s">
        <v>140</v>
      </c>
      <c r="G82" s="7"/>
      <c r="H82" s="1"/>
      <c r="I82" s="1"/>
      <c r="J82" s="7"/>
      <c r="K82" s="7"/>
      <c r="L82" s="7"/>
      <c r="M82" s="7"/>
      <c r="N82" s="7"/>
      <c r="O82" s="7"/>
      <c r="P82" s="1"/>
      <c r="Q82" s="1"/>
      <c r="R82" s="1"/>
      <c r="S82" s="1"/>
      <c r="T82" s="1"/>
    </row>
    <row r="83" customFormat="false" ht="14.15" hidden="false" customHeight="true" outlineLevel="0" collapsed="false">
      <c r="C83" s="35" t="s">
        <v>26</v>
      </c>
      <c r="D83" s="2" t="s">
        <v>8</v>
      </c>
      <c r="E83" s="9" t="s">
        <v>149</v>
      </c>
      <c r="G83" s="7"/>
      <c r="H83" s="1"/>
      <c r="I83" s="1"/>
      <c r="J83" s="7"/>
      <c r="K83" s="7"/>
      <c r="L83" s="7"/>
      <c r="M83" s="7"/>
      <c r="N83" s="7"/>
      <c r="O83" s="7"/>
      <c r="P83" s="1"/>
      <c r="Q83" s="1"/>
      <c r="R83" s="1"/>
      <c r="S83" s="1"/>
      <c r="T83" s="1"/>
    </row>
    <row r="84" customFormat="false" ht="14.15" hidden="false" customHeight="true" outlineLevel="0" collapsed="false">
      <c r="C84" s="35" t="s">
        <v>102</v>
      </c>
      <c r="D84" s="2" t="s">
        <v>8</v>
      </c>
      <c r="E84" s="9" t="s">
        <v>150</v>
      </c>
      <c r="G84" s="7"/>
      <c r="H84" s="7"/>
      <c r="I84" s="7"/>
      <c r="J84" s="7"/>
      <c r="K84" s="7"/>
      <c r="L84" s="7"/>
      <c r="M84" s="7"/>
      <c r="N84" s="7"/>
      <c r="O84" s="7"/>
      <c r="P84" s="1"/>
      <c r="Q84" s="1"/>
      <c r="R84" s="1"/>
      <c r="S84" s="1"/>
      <c r="T84" s="1"/>
    </row>
    <row r="85" customFormat="false" ht="8.5" hidden="false" customHeight="true" outlineLevel="0" collapsed="false">
      <c r="K85" s="1"/>
      <c r="L85" s="1"/>
      <c r="M85" s="1"/>
      <c r="N85" s="1"/>
      <c r="O85" s="1"/>
      <c r="P85" s="1"/>
      <c r="Q85" s="1"/>
      <c r="R85" s="1"/>
      <c r="S85" s="1"/>
      <c r="T85" s="1"/>
    </row>
    <row r="86" customFormat="false" ht="13.8" hidden="false" customHeight="false" outlineLevel="0" collapsed="false">
      <c r="C86" s="20" t="s">
        <v>40</v>
      </c>
      <c r="D86" s="21" t="s">
        <v>53</v>
      </c>
      <c r="E86" s="22" t="s">
        <v>54</v>
      </c>
      <c r="F86" s="59" t="s">
        <v>129</v>
      </c>
      <c r="K86" s="1"/>
      <c r="L86" s="1"/>
      <c r="M86" s="1"/>
      <c r="N86" s="1"/>
      <c r="O86" s="1"/>
      <c r="P86" s="1"/>
      <c r="Q86" s="1"/>
      <c r="R86" s="1"/>
      <c r="S86" s="1"/>
      <c r="T86" s="1"/>
    </row>
    <row r="87" customFormat="false" ht="13.8" hidden="false" customHeight="false" outlineLevel="0" collapsed="false">
      <c r="C87" s="36" t="n">
        <v>0</v>
      </c>
      <c r="D87" s="65" t="n">
        <f aca="false">13*C87^4-32*C87^3+24*C87^2</f>
        <v>0</v>
      </c>
      <c r="E87" s="66" t="n">
        <f aca="false">-28*C87^4+64*C87^3-48*C87^2+16*C87</f>
        <v>0</v>
      </c>
      <c r="F87" s="67" t="n">
        <f aca="false">1</f>
        <v>1</v>
      </c>
      <c r="K87" s="1"/>
      <c r="L87" s="1"/>
      <c r="M87" s="1"/>
      <c r="N87" s="1"/>
      <c r="O87" s="1"/>
      <c r="P87" s="1"/>
      <c r="Q87" s="1"/>
      <c r="R87" s="1"/>
      <c r="S87" s="1"/>
      <c r="T87" s="1"/>
    </row>
    <row r="88" customFormat="false" ht="13.8" hidden="false" customHeight="false" outlineLevel="0" collapsed="false">
      <c r="C88" s="39" t="n">
        <f aca="false">C87+0.1</f>
        <v>0.1</v>
      </c>
      <c r="D88" s="68" t="n">
        <f aca="false">13*C88^4-32*C88^3+24*C88^2</f>
        <v>0.2093</v>
      </c>
      <c r="E88" s="69" t="n">
        <f aca="false">-28*C88^4+64*C88^3-48*C88^2+16*C88</f>
        <v>1.1812</v>
      </c>
      <c r="F88" s="70" t="n">
        <f aca="false">1</f>
        <v>1</v>
      </c>
      <c r="K88" s="1"/>
      <c r="L88" s="1"/>
      <c r="M88" s="1"/>
      <c r="N88" s="1"/>
      <c r="O88" s="1"/>
      <c r="P88" s="1"/>
      <c r="Q88" s="1"/>
      <c r="R88" s="1"/>
      <c r="S88" s="1"/>
      <c r="T88" s="1"/>
    </row>
    <row r="89" customFormat="false" ht="13.8" hidden="false" customHeight="false" outlineLevel="0" collapsed="false">
      <c r="C89" s="39" t="n">
        <f aca="false">C88+0.1</f>
        <v>0.2</v>
      </c>
      <c r="D89" s="68" t="n">
        <f aca="false">13*C89^4-32*C89^3+24*C89^2</f>
        <v>0.7248</v>
      </c>
      <c r="E89" s="69" t="n">
        <f aca="false">-28*C89^4+64*C89^3-48*C89^2+16*C89</f>
        <v>1.7472</v>
      </c>
      <c r="F89" s="70" t="n">
        <f aca="false">1</f>
        <v>1</v>
      </c>
      <c r="K89" s="1"/>
      <c r="L89" s="1"/>
      <c r="M89" s="1"/>
      <c r="N89" s="1"/>
      <c r="O89" s="1"/>
      <c r="P89" s="1"/>
      <c r="Q89" s="1"/>
      <c r="R89" s="1"/>
      <c r="S89" s="1"/>
      <c r="T89" s="1"/>
    </row>
    <row r="90" customFormat="false" ht="13.8" hidden="false" customHeight="false" outlineLevel="0" collapsed="false">
      <c r="C90" s="39" t="n">
        <f aca="false">C89+0.1</f>
        <v>0.3</v>
      </c>
      <c r="D90" s="68" t="n">
        <f aca="false">13*C90^4-32*C90^3+24*C90^2</f>
        <v>1.4013</v>
      </c>
      <c r="E90" s="69" t="n">
        <f aca="false">-28*C90^4+64*C90^3-48*C90^2+16*C90</f>
        <v>1.9812</v>
      </c>
      <c r="F90" s="70" t="n">
        <f aca="false">1</f>
        <v>1</v>
      </c>
      <c r="K90" s="1"/>
      <c r="L90" s="1"/>
      <c r="M90" s="1"/>
      <c r="N90" s="1"/>
      <c r="O90" s="1"/>
      <c r="P90" s="1"/>
      <c r="Q90" s="1"/>
      <c r="R90" s="1"/>
      <c r="S90" s="1"/>
      <c r="T90" s="1"/>
    </row>
    <row r="91" customFormat="false" ht="13.8" hidden="false" customHeight="false" outlineLevel="0" collapsed="false">
      <c r="C91" s="39" t="n">
        <f aca="false">C90+0.1</f>
        <v>0.4</v>
      </c>
      <c r="D91" s="68" t="n">
        <f aca="false">13*C91^4-32*C91^3+24*C91^2</f>
        <v>2.1248</v>
      </c>
      <c r="E91" s="69" t="n">
        <f aca="false">-28*C91^4+64*C91^3-48*C91^2+16*C91</f>
        <v>2.0992</v>
      </c>
      <c r="F91" s="71" t="n">
        <f aca="false">1</f>
        <v>1</v>
      </c>
      <c r="K91" s="1"/>
      <c r="L91" s="1"/>
      <c r="M91" s="1"/>
      <c r="N91" s="1"/>
      <c r="O91" s="1"/>
      <c r="P91" s="1"/>
      <c r="Q91" s="1"/>
      <c r="R91" s="1"/>
      <c r="S91" s="1"/>
      <c r="T91" s="1"/>
    </row>
    <row r="92" customFormat="false" ht="13.8" hidden="false" customHeight="false" outlineLevel="0" collapsed="false">
      <c r="C92" s="42" t="n">
        <f aca="false">C91+0.1</f>
        <v>0.5</v>
      </c>
      <c r="D92" s="72" t="n">
        <f aca="false">13*C92^4-32*C92^3+24*C92^2</f>
        <v>2.8125</v>
      </c>
      <c r="E92" s="73" t="n">
        <f aca="false">-28*C92^4+64*C92^3-48*C92^2+16*C92</f>
        <v>2.25</v>
      </c>
      <c r="F92" s="74" t="n">
        <f aca="false">1</f>
        <v>1</v>
      </c>
      <c r="K92" s="1"/>
      <c r="L92" s="1"/>
      <c r="M92" s="1"/>
      <c r="N92" s="1"/>
      <c r="O92" s="1"/>
      <c r="P92" s="1"/>
      <c r="Q92" s="1"/>
      <c r="R92" s="1"/>
      <c r="S92" s="1"/>
      <c r="T92" s="1"/>
    </row>
    <row r="93" customFormat="false" ht="13.8" hidden="false" customHeight="false" outlineLevel="0" collapsed="false">
      <c r="C93" s="39" t="n">
        <f aca="false">C92+0.1</f>
        <v>0.6</v>
      </c>
      <c r="D93" s="68" t="n">
        <f aca="false">13*C93^4-32*C93^3+24*C93^2</f>
        <v>3.4128</v>
      </c>
      <c r="E93" s="69" t="n">
        <f aca="false">-28*C93^4+64*C93^3-48*C93^2+16*C93</f>
        <v>2.5152</v>
      </c>
      <c r="F93" s="71" t="n">
        <f aca="false">1</f>
        <v>1</v>
      </c>
      <c r="K93" s="1"/>
      <c r="L93" s="1"/>
      <c r="M93" s="1"/>
      <c r="N93" s="1"/>
      <c r="O93" s="1"/>
      <c r="P93" s="1"/>
      <c r="Q93" s="1"/>
      <c r="R93" s="1"/>
      <c r="S93" s="1"/>
      <c r="T93" s="1"/>
    </row>
    <row r="94" customFormat="false" ht="13.8" hidden="false" customHeight="false" outlineLevel="0" collapsed="false">
      <c r="C94" s="39" t="n">
        <f aca="false">C93+0.1</f>
        <v>0.7</v>
      </c>
      <c r="D94" s="68" t="n">
        <f aca="false">13*C94^4-32*C94^3+24*C94^2</f>
        <v>3.9053</v>
      </c>
      <c r="E94" s="69" t="n">
        <f aca="false">-28*C94^4+64*C94^3-48*C94^2+16*C94</f>
        <v>2.9092</v>
      </c>
      <c r="F94" s="71" t="n">
        <f aca="false">1</f>
        <v>1</v>
      </c>
      <c r="K94" s="1"/>
      <c r="L94" s="1"/>
      <c r="M94" s="1"/>
      <c r="N94" s="1"/>
      <c r="O94" s="1"/>
      <c r="P94" s="1"/>
      <c r="Q94" s="1"/>
      <c r="R94" s="1"/>
      <c r="S94" s="1"/>
      <c r="T94" s="1"/>
    </row>
    <row r="95" customFormat="false" ht="13.8" hidden="false" customHeight="false" outlineLevel="0" collapsed="false">
      <c r="C95" s="39" t="n">
        <f aca="false">C94+0.1</f>
        <v>0.8</v>
      </c>
      <c r="D95" s="68" t="n">
        <f aca="false">13*C95^4-32*C95^3+24*C95^2</f>
        <v>4.3008</v>
      </c>
      <c r="E95" s="69" t="n">
        <f aca="false">-28*C95^4+64*C95^3-48*C95^2+16*C95</f>
        <v>3.3792</v>
      </c>
      <c r="F95" s="71" t="n">
        <f aca="false">1</f>
        <v>1</v>
      </c>
      <c r="K95" s="1"/>
      <c r="L95" s="1"/>
      <c r="M95" s="1"/>
      <c r="N95" s="1"/>
      <c r="O95" s="1"/>
      <c r="P95" s="1"/>
      <c r="Q95" s="1"/>
      <c r="R95" s="1"/>
      <c r="S95" s="1"/>
      <c r="T95" s="1"/>
    </row>
    <row r="96" customFormat="false" ht="13.8" hidden="false" customHeight="false" outlineLevel="0" collapsed="false">
      <c r="C96" s="39" t="n">
        <f aca="false">C95+0.1</f>
        <v>0.9</v>
      </c>
      <c r="D96" s="68" t="n">
        <f aca="false">13*C96^4-32*C96^3+24*C96^2</f>
        <v>4.6413</v>
      </c>
      <c r="E96" s="69" t="n">
        <f aca="false">-28*C96^4+64*C96^3-48*C96^2+16*C96</f>
        <v>3.80519999999999</v>
      </c>
      <c r="F96" s="71" t="n">
        <f aca="false">1</f>
        <v>1</v>
      </c>
      <c r="K96" s="1"/>
      <c r="L96" s="1"/>
      <c r="M96" s="1"/>
      <c r="N96" s="1"/>
      <c r="O96" s="1"/>
      <c r="P96" s="1"/>
      <c r="Q96" s="1"/>
      <c r="R96" s="1"/>
      <c r="S96" s="1"/>
      <c r="T96" s="1"/>
    </row>
    <row r="97" customFormat="false" ht="13.8" hidden="false" customHeight="false" outlineLevel="0" collapsed="false">
      <c r="C97" s="45" t="n">
        <f aca="false">C96+0.1</f>
        <v>1</v>
      </c>
      <c r="D97" s="75" t="n">
        <f aca="false">13*C97^4-32*C97^3+24*C97^2</f>
        <v>5</v>
      </c>
      <c r="E97" s="76" t="n">
        <f aca="false">-28*C97^4+64*C97^3-48*C97^2+16*C97</f>
        <v>4.00000000000001</v>
      </c>
      <c r="F97" s="74" t="n">
        <f aca="false">1</f>
        <v>1</v>
      </c>
      <c r="K97" s="1"/>
      <c r="L97" s="1"/>
      <c r="M97" s="1"/>
      <c r="N97" s="1"/>
      <c r="O97" s="1"/>
      <c r="P97" s="1"/>
      <c r="Q97" s="1"/>
      <c r="R97" s="1"/>
      <c r="S97" s="1"/>
      <c r="T97" s="1"/>
    </row>
    <row r="98" customFormat="false" ht="8.5" hidden="false" customHeight="true" outlineLevel="0" collapsed="false">
      <c r="K98" s="1"/>
      <c r="L98" s="1"/>
      <c r="M98" s="1"/>
      <c r="N98" s="1"/>
      <c r="O98" s="1"/>
      <c r="P98" s="1"/>
      <c r="Q98" s="1"/>
      <c r="R98" s="1"/>
      <c r="S98" s="1"/>
      <c r="T98" s="1"/>
    </row>
    <row r="99" customFormat="false" ht="14.15" hidden="false" customHeight="true" outlineLevel="0" collapsed="false">
      <c r="B99" s="6"/>
      <c r="C99" s="6" t="s">
        <v>70</v>
      </c>
      <c r="D99" s="6"/>
      <c r="E99" s="6"/>
      <c r="F99" s="6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customFormat="false" ht="8.5" hidden="false" customHeight="true" outlineLevel="0" collapsed="false"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customFormat="false" ht="14.15" hidden="false" customHeight="true" outlineLevel="0" collapsed="false">
      <c r="E101" s="19" t="s">
        <v>46</v>
      </c>
      <c r="F101" s="19"/>
      <c r="G101" s="19"/>
      <c r="H101" s="1"/>
      <c r="I101" s="1"/>
      <c r="J101" s="2"/>
      <c r="K101" s="19" t="s">
        <v>47</v>
      </c>
      <c r="L101" s="19"/>
      <c r="M101" s="19"/>
      <c r="N101" s="1"/>
      <c r="O101" s="1"/>
      <c r="P101" s="1"/>
      <c r="Q101" s="19" t="s">
        <v>48</v>
      </c>
      <c r="R101" s="19"/>
      <c r="S101" s="19"/>
      <c r="T101" s="1"/>
    </row>
    <row r="102" customFormat="false" ht="8.5" hidden="false" customHeight="true" outlineLevel="0" collapsed="false">
      <c r="H102" s="1"/>
      <c r="I102" s="1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</row>
    <row r="103" customFormat="false" ht="14.15" hidden="false" customHeight="true" outlineLevel="0" collapsed="false">
      <c r="C103" s="2" t="s">
        <v>7</v>
      </c>
      <c r="D103" s="2" t="s">
        <v>8</v>
      </c>
      <c r="E103" s="14" t="s">
        <v>112</v>
      </c>
      <c r="F103" s="57" t="s">
        <v>116</v>
      </c>
      <c r="G103" s="57" t="s">
        <v>20</v>
      </c>
      <c r="H103" s="2" t="s">
        <v>40</v>
      </c>
      <c r="I103" s="15" t="n">
        <v>1</v>
      </c>
      <c r="J103" s="2" t="s">
        <v>41</v>
      </c>
      <c r="K103" s="14" t="n">
        <v>1</v>
      </c>
      <c r="L103" s="2" t="n">
        <v>-4</v>
      </c>
      <c r="M103" s="2" t="n">
        <v>6</v>
      </c>
      <c r="N103" s="2" t="n">
        <v>-4</v>
      </c>
      <c r="O103" s="15" t="n">
        <v>1</v>
      </c>
      <c r="P103" s="2" t="s">
        <v>41</v>
      </c>
      <c r="Q103" s="16" t="s">
        <v>44</v>
      </c>
      <c r="R103" s="1"/>
      <c r="S103" s="1"/>
      <c r="T103" s="1"/>
    </row>
    <row r="104" customFormat="false" ht="14.15" hidden="false" customHeight="true" outlineLevel="0" collapsed="false">
      <c r="C104" s="2"/>
      <c r="D104" s="2"/>
      <c r="E104" s="2"/>
      <c r="F104" s="2"/>
      <c r="J104" s="2"/>
      <c r="K104" s="14" t="n">
        <v>-4</v>
      </c>
      <c r="L104" s="2" t="n">
        <v>12</v>
      </c>
      <c r="M104" s="2" t="n">
        <v>-12</v>
      </c>
      <c r="N104" s="2" t="n">
        <v>4</v>
      </c>
      <c r="O104" s="15" t="n">
        <v>0</v>
      </c>
      <c r="P104" s="1"/>
      <c r="Q104" s="16" t="s">
        <v>49</v>
      </c>
      <c r="R104" s="1"/>
      <c r="S104" s="1"/>
      <c r="T104" s="1"/>
    </row>
    <row r="105" customFormat="false" ht="14.15" hidden="false" customHeight="true" outlineLevel="0" collapsed="false">
      <c r="C105" s="2"/>
      <c r="D105" s="2"/>
      <c r="E105" s="2"/>
      <c r="F105" s="2"/>
      <c r="J105" s="2"/>
      <c r="K105" s="14" t="n">
        <v>6</v>
      </c>
      <c r="L105" s="2" t="n">
        <v>-12</v>
      </c>
      <c r="M105" s="2" t="n">
        <v>6</v>
      </c>
      <c r="N105" s="2" t="n">
        <v>0</v>
      </c>
      <c r="O105" s="15" t="n">
        <v>0</v>
      </c>
      <c r="P105" s="1"/>
      <c r="Q105" s="16" t="s">
        <v>50</v>
      </c>
      <c r="R105" s="1"/>
      <c r="S105" s="1"/>
      <c r="T105" s="1"/>
    </row>
    <row r="106" customFormat="false" ht="14.15" hidden="false" customHeight="true" outlineLevel="0" collapsed="false">
      <c r="C106" s="2"/>
      <c r="D106" s="2"/>
      <c r="E106" s="2"/>
      <c r="F106" s="2"/>
      <c r="J106" s="2"/>
      <c r="K106" s="14" t="n">
        <v>-4</v>
      </c>
      <c r="L106" s="2" t="n">
        <v>4</v>
      </c>
      <c r="M106" s="2" t="n">
        <v>0</v>
      </c>
      <c r="N106" s="2" t="n">
        <v>0</v>
      </c>
      <c r="O106" s="15" t="n">
        <v>0</v>
      </c>
      <c r="P106" s="1"/>
      <c r="Q106" s="16" t="s">
        <v>127</v>
      </c>
      <c r="R106" s="1"/>
      <c r="S106" s="1"/>
      <c r="T106" s="1"/>
    </row>
    <row r="107" customFormat="false" ht="14.15" hidden="false" customHeight="true" outlineLevel="0" collapsed="false">
      <c r="C107" s="2"/>
      <c r="D107" s="2"/>
      <c r="E107" s="2"/>
      <c r="F107" s="2"/>
      <c r="H107" s="1"/>
      <c r="I107" s="1"/>
      <c r="J107" s="2"/>
      <c r="K107" s="14" t="n">
        <v>1</v>
      </c>
      <c r="L107" s="2" t="n">
        <v>0</v>
      </c>
      <c r="M107" s="2" t="n">
        <v>0</v>
      </c>
      <c r="N107" s="2" t="n">
        <v>0</v>
      </c>
      <c r="O107" s="15" t="n">
        <v>0</v>
      </c>
      <c r="P107" s="1"/>
      <c r="Q107" s="16" t="s">
        <v>128</v>
      </c>
      <c r="R107" s="1"/>
      <c r="S107" s="1"/>
      <c r="T107" s="1"/>
    </row>
    <row r="108" customFormat="false" ht="8.5" hidden="false" customHeight="true" outlineLevel="0" collapsed="false">
      <c r="C108" s="2"/>
      <c r="D108" s="2"/>
      <c r="E108" s="2"/>
      <c r="F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</row>
    <row r="109" customFormat="false" ht="14.15" hidden="false" customHeight="true" outlineLevel="0" collapsed="false">
      <c r="C109" s="20" t="s">
        <v>52</v>
      </c>
      <c r="D109" s="21" t="s">
        <v>53</v>
      </c>
      <c r="E109" s="58" t="s">
        <v>54</v>
      </c>
      <c r="F109" s="59" t="s">
        <v>129</v>
      </c>
      <c r="G109" s="1"/>
      <c r="H109" s="1"/>
      <c r="I109" s="2" t="s">
        <v>72</v>
      </c>
      <c r="K109" s="2" t="s">
        <v>72</v>
      </c>
      <c r="L109" s="1"/>
      <c r="M109" s="2" t="s">
        <v>155</v>
      </c>
      <c r="N109" s="1"/>
      <c r="O109" s="1"/>
      <c r="P109" s="1"/>
      <c r="Q109" s="1"/>
      <c r="R109" s="1"/>
      <c r="S109" s="1"/>
      <c r="T109" s="1"/>
    </row>
    <row r="110" customFormat="false" ht="14.15" hidden="false" customHeight="true" outlineLevel="0" collapsed="false">
      <c r="C110" s="23" t="s">
        <v>44</v>
      </c>
      <c r="D110" s="24" t="n">
        <v>0</v>
      </c>
      <c r="E110" s="60" t="n">
        <v>0</v>
      </c>
      <c r="F110" s="60" t="n">
        <v>1</v>
      </c>
      <c r="G110" s="1"/>
      <c r="H110" s="1"/>
      <c r="I110" s="16" t="n">
        <f aca="false" t="array" ref="I110:I114">MMULT($K$103:$O$107,$D$110:$D$114)</f>
        <v>13</v>
      </c>
      <c r="K110" s="16" t="n">
        <f aca="false" t="array" ref="K110:K114">MMULT($K$103:$O$107,$E$110:$E$114)</f>
        <v>-28</v>
      </c>
      <c r="L110" s="1"/>
      <c r="M110" s="16" t="n">
        <f aca="false" t="array" ref="M110:M114">MMULT($K$103:$O$107,$F$110:$F$114)</f>
        <v>0</v>
      </c>
      <c r="N110" s="1"/>
      <c r="O110" s="1"/>
      <c r="P110" s="1"/>
      <c r="Q110" s="1"/>
      <c r="R110" s="1"/>
      <c r="S110" s="1"/>
      <c r="T110" s="1"/>
    </row>
    <row r="111" customFormat="false" ht="14.15" hidden="false" customHeight="true" outlineLevel="0" collapsed="false">
      <c r="C111" s="26" t="s">
        <v>49</v>
      </c>
      <c r="D111" s="27" t="n">
        <v>0</v>
      </c>
      <c r="E111" s="61" t="n">
        <v>4</v>
      </c>
      <c r="F111" s="61" t="n">
        <v>1</v>
      </c>
      <c r="G111" s="1"/>
      <c r="H111" s="1"/>
      <c r="I111" s="16" t="n">
        <v>-32</v>
      </c>
      <c r="K111" s="16" t="n">
        <v>64</v>
      </c>
      <c r="L111" s="1"/>
      <c r="M111" s="16" t="n">
        <v>0</v>
      </c>
      <c r="N111" s="1"/>
      <c r="O111" s="1"/>
      <c r="P111" s="1"/>
      <c r="Q111" s="1"/>
      <c r="R111" s="1"/>
      <c r="S111" s="1"/>
      <c r="T111" s="1"/>
    </row>
    <row r="112" customFormat="false" ht="14.15" hidden="false" customHeight="true" outlineLevel="0" collapsed="false">
      <c r="C112" s="26" t="s">
        <v>50</v>
      </c>
      <c r="D112" s="27" t="n">
        <v>4</v>
      </c>
      <c r="E112" s="61" t="n">
        <v>0</v>
      </c>
      <c r="F112" s="61" t="n">
        <v>1</v>
      </c>
      <c r="G112" s="1"/>
      <c r="H112" s="1"/>
      <c r="I112" s="16" t="n">
        <v>24</v>
      </c>
      <c r="K112" s="16" t="n">
        <v>-48</v>
      </c>
      <c r="L112" s="1"/>
      <c r="M112" s="16" t="n">
        <v>0</v>
      </c>
      <c r="N112" s="1"/>
      <c r="O112" s="1"/>
      <c r="P112" s="1"/>
      <c r="Q112" s="1"/>
      <c r="R112" s="1"/>
      <c r="S112" s="1"/>
      <c r="T112" s="1"/>
    </row>
    <row r="113" customFormat="false" ht="14.15" hidden="false" customHeight="true" outlineLevel="0" collapsed="false">
      <c r="C113" s="26" t="s">
        <v>127</v>
      </c>
      <c r="D113" s="27" t="n">
        <v>4</v>
      </c>
      <c r="E113" s="61" t="n">
        <v>4</v>
      </c>
      <c r="F113" s="61" t="n">
        <v>1</v>
      </c>
      <c r="G113" s="1"/>
      <c r="H113" s="1"/>
      <c r="I113" s="16" t="n">
        <v>0</v>
      </c>
      <c r="K113" s="16" t="n">
        <v>16</v>
      </c>
      <c r="L113" s="1"/>
      <c r="M113" s="16" t="n">
        <v>0</v>
      </c>
      <c r="N113" s="1"/>
      <c r="O113" s="1"/>
      <c r="P113" s="1"/>
      <c r="Q113" s="1"/>
      <c r="R113" s="1"/>
      <c r="S113" s="1"/>
      <c r="T113" s="1"/>
    </row>
    <row r="114" customFormat="false" ht="14.15" hidden="false" customHeight="true" outlineLevel="0" collapsed="false">
      <c r="C114" s="29" t="s">
        <v>128</v>
      </c>
      <c r="D114" s="30" t="n">
        <v>5</v>
      </c>
      <c r="E114" s="62" t="n">
        <v>4</v>
      </c>
      <c r="F114" s="62" t="n">
        <v>1</v>
      </c>
      <c r="G114" s="1"/>
      <c r="H114" s="1"/>
      <c r="I114" s="16" t="n">
        <v>0</v>
      </c>
      <c r="K114" s="16" t="n">
        <v>0</v>
      </c>
      <c r="L114" s="1"/>
      <c r="M114" s="16" t="n">
        <v>1</v>
      </c>
      <c r="N114" s="1"/>
      <c r="O114" s="1"/>
      <c r="P114" s="1"/>
      <c r="Q114" s="1"/>
      <c r="R114" s="1"/>
      <c r="S114" s="1"/>
      <c r="T114" s="1"/>
    </row>
    <row r="115" customFormat="false" ht="8.5" hidden="false" customHeight="true" outlineLevel="0" collapsed="false"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customFormat="false" ht="13.8" hidden="false" customHeight="false" outlineLevel="0" collapsed="false">
      <c r="C116" s="20" t="s">
        <v>40</v>
      </c>
      <c r="D116" s="21" t="s">
        <v>112</v>
      </c>
      <c r="E116" s="58" t="s">
        <v>116</v>
      </c>
      <c r="F116" s="59" t="s">
        <v>20</v>
      </c>
      <c r="G116" s="22" t="s">
        <v>40</v>
      </c>
      <c r="H116" s="48" t="n">
        <v>1</v>
      </c>
      <c r="I116" s="1"/>
      <c r="J116" s="49" t="s">
        <v>53</v>
      </c>
      <c r="K116" s="50" t="s">
        <v>54</v>
      </c>
      <c r="L116" s="50" t="s">
        <v>54</v>
      </c>
      <c r="M116" s="1"/>
      <c r="N116" s="1"/>
      <c r="O116" s="1"/>
      <c r="P116" s="1"/>
      <c r="Q116" s="1"/>
      <c r="R116" s="1"/>
      <c r="S116" s="1"/>
      <c r="T116" s="1"/>
    </row>
    <row r="117" customFormat="false" ht="13.8" hidden="false" customHeight="false" outlineLevel="0" collapsed="false">
      <c r="C117" s="36" t="n">
        <v>0</v>
      </c>
      <c r="D117" s="77" t="n">
        <f aca="false">C117^4</f>
        <v>0</v>
      </c>
      <c r="E117" s="78" t="n">
        <f aca="false">C117^3</f>
        <v>0</v>
      </c>
      <c r="F117" s="78" t="n">
        <f aca="false">C117^2</f>
        <v>0</v>
      </c>
      <c r="G117" s="79" t="n">
        <f aca="false">C117</f>
        <v>0</v>
      </c>
      <c r="H117" s="79" t="n">
        <f aca="false">1</f>
        <v>1</v>
      </c>
      <c r="I117" s="1"/>
      <c r="J117" s="80" t="n">
        <f aca="false" t="array" ref="J117:J117">MMULT($D117:$H117,$I$110:$I$114)</f>
        <v>0</v>
      </c>
      <c r="K117" s="81" t="n">
        <f aca="false" t="array" ref="K117:K117">MMULT($D117:$H117,$K$110:$K$114)</f>
        <v>0</v>
      </c>
      <c r="L117" s="81" t="n">
        <f aca="false" t="array" ref="L117:L117">MMULT($D117:$H117,$M$110:$M$114)</f>
        <v>1</v>
      </c>
      <c r="M117" s="1"/>
      <c r="N117" s="1"/>
      <c r="O117" s="1"/>
      <c r="P117" s="1"/>
      <c r="Q117" s="1"/>
      <c r="R117" s="1"/>
      <c r="S117" s="1"/>
      <c r="T117" s="1"/>
    </row>
    <row r="118" customFormat="false" ht="13.8" hidden="false" customHeight="false" outlineLevel="0" collapsed="false">
      <c r="C118" s="39" t="n">
        <f aca="false">C117+0.1</f>
        <v>0.1</v>
      </c>
      <c r="D118" s="82" t="n">
        <f aca="false">C118^4</f>
        <v>0.0001</v>
      </c>
      <c r="E118" s="83" t="n">
        <f aca="false">C118^3</f>
        <v>0.001</v>
      </c>
      <c r="F118" s="83" t="n">
        <f aca="false">C118^2</f>
        <v>0.01</v>
      </c>
      <c r="G118" s="84" t="n">
        <f aca="false">C118</f>
        <v>0.1</v>
      </c>
      <c r="H118" s="84" t="n">
        <f aca="false">1</f>
        <v>1</v>
      </c>
      <c r="I118" s="1"/>
      <c r="J118" s="85" t="n">
        <f aca="false" t="array" ref="J118:J118">MMULT($D118:$H118,$I$110:$I$114)</f>
        <v>0.2093</v>
      </c>
      <c r="K118" s="86" t="n">
        <f aca="false" t="array" ref="K118:K118">MMULT($D118:$H118,$K$110:$K$114)</f>
        <v>1.1812</v>
      </c>
      <c r="L118" s="86" t="n">
        <f aca="false" t="array" ref="L118:L118">MMULT($D118:$H118,$M$110:$M$114)</f>
        <v>1</v>
      </c>
      <c r="M118" s="1"/>
      <c r="N118" s="1"/>
      <c r="O118" s="1"/>
      <c r="P118" s="1"/>
      <c r="Q118" s="1"/>
      <c r="R118" s="1"/>
      <c r="S118" s="1"/>
      <c r="T118" s="1"/>
    </row>
    <row r="119" customFormat="false" ht="13.8" hidden="false" customHeight="false" outlineLevel="0" collapsed="false">
      <c r="C119" s="39" t="n">
        <f aca="false">C118+0.1</f>
        <v>0.2</v>
      </c>
      <c r="D119" s="82" t="n">
        <f aca="false">C119^4</f>
        <v>0.0016</v>
      </c>
      <c r="E119" s="83" t="n">
        <f aca="false">C119^3</f>
        <v>0.008</v>
      </c>
      <c r="F119" s="83" t="n">
        <f aca="false">C119^2</f>
        <v>0.04</v>
      </c>
      <c r="G119" s="84" t="n">
        <f aca="false">C119</f>
        <v>0.2</v>
      </c>
      <c r="H119" s="84" t="n">
        <f aca="false">1</f>
        <v>1</v>
      </c>
      <c r="I119" s="1"/>
      <c r="J119" s="85" t="n">
        <f aca="false" t="array" ref="J119:J119">MMULT($D119:$H119,$I$110:$I$114)</f>
        <v>0.7248</v>
      </c>
      <c r="K119" s="86" t="n">
        <f aca="false" t="array" ref="K119:K119">MMULT($D119:$H119,$K$110:$K$114)</f>
        <v>1.7472</v>
      </c>
      <c r="L119" s="86" t="n">
        <f aca="false" t="array" ref="L119:L119">MMULT($D119:$H119,$M$110:$M$114)</f>
        <v>1</v>
      </c>
      <c r="M119" s="1"/>
      <c r="N119" s="1"/>
      <c r="O119" s="1"/>
      <c r="P119" s="1"/>
      <c r="Q119" s="1"/>
      <c r="R119" s="1"/>
      <c r="S119" s="1"/>
      <c r="T119" s="1"/>
    </row>
    <row r="120" customFormat="false" ht="13.8" hidden="false" customHeight="false" outlineLevel="0" collapsed="false">
      <c r="C120" s="39" t="n">
        <f aca="false">C119+0.1</f>
        <v>0.3</v>
      </c>
      <c r="D120" s="82" t="n">
        <f aca="false">C120^4</f>
        <v>0.00810000000000001</v>
      </c>
      <c r="E120" s="83" t="n">
        <f aca="false">C120^3</f>
        <v>0.027</v>
      </c>
      <c r="F120" s="83" t="n">
        <f aca="false">C120^2</f>
        <v>0.09</v>
      </c>
      <c r="G120" s="84" t="n">
        <f aca="false">C120</f>
        <v>0.3</v>
      </c>
      <c r="H120" s="84" t="n">
        <f aca="false">1</f>
        <v>1</v>
      </c>
      <c r="I120" s="1"/>
      <c r="J120" s="85" t="n">
        <f aca="false" t="array" ref="J120:J120">MMULT($D120:$H120,$I$110:$I$114)</f>
        <v>1.4013</v>
      </c>
      <c r="K120" s="86" t="n">
        <f aca="false" t="array" ref="K120:K120">MMULT($D120:$H120,$K$110:$K$114)</f>
        <v>1.9812</v>
      </c>
      <c r="L120" s="86" t="n">
        <f aca="false" t="array" ref="L120:L120">MMULT($D120:$H120,$M$110:$M$114)</f>
        <v>1</v>
      </c>
      <c r="M120" s="1"/>
      <c r="N120" s="1"/>
      <c r="O120" s="1"/>
      <c r="P120" s="1"/>
      <c r="Q120" s="1"/>
      <c r="R120" s="1"/>
      <c r="S120" s="1"/>
      <c r="T120" s="1"/>
    </row>
    <row r="121" customFormat="false" ht="13.8" hidden="false" customHeight="false" outlineLevel="0" collapsed="false">
      <c r="C121" s="39" t="n">
        <f aca="false">C120+0.1</f>
        <v>0.4</v>
      </c>
      <c r="D121" s="82" t="n">
        <f aca="false">C121^4</f>
        <v>0.0256</v>
      </c>
      <c r="E121" s="83" t="n">
        <f aca="false">C121^3</f>
        <v>0.064</v>
      </c>
      <c r="F121" s="83" t="n">
        <f aca="false">C121^2</f>
        <v>0.16</v>
      </c>
      <c r="G121" s="84" t="n">
        <f aca="false">C121</f>
        <v>0.4</v>
      </c>
      <c r="H121" s="84" t="n">
        <f aca="false">1</f>
        <v>1</v>
      </c>
      <c r="I121" s="1"/>
      <c r="J121" s="85" t="n">
        <f aca="false" t="array" ref="J121:J121">MMULT($D121:$H121,$I$110:$I$114)</f>
        <v>2.1248</v>
      </c>
      <c r="K121" s="86" t="n">
        <f aca="false" t="array" ref="K121:K121">MMULT($D121:$H121,$K$110:$K$114)</f>
        <v>2.0992</v>
      </c>
      <c r="L121" s="86" t="n">
        <f aca="false" t="array" ref="L121:L121">MMULT($D121:$H121,$M$110:$M$114)</f>
        <v>1</v>
      </c>
      <c r="M121" s="1"/>
      <c r="N121" s="1"/>
      <c r="O121" s="1"/>
      <c r="P121" s="1"/>
      <c r="Q121" s="1"/>
      <c r="R121" s="1"/>
      <c r="S121" s="1"/>
      <c r="T121" s="1"/>
    </row>
    <row r="122" customFormat="false" ht="13.8" hidden="false" customHeight="false" outlineLevel="0" collapsed="false">
      <c r="C122" s="42" t="n">
        <f aca="false">C121+0.1</f>
        <v>0.5</v>
      </c>
      <c r="D122" s="87" t="n">
        <f aca="false">C122^4</f>
        <v>0.0625</v>
      </c>
      <c r="E122" s="88" t="n">
        <f aca="false">C122^3</f>
        <v>0.125</v>
      </c>
      <c r="F122" s="88" t="n">
        <f aca="false">C122^2</f>
        <v>0.25</v>
      </c>
      <c r="G122" s="89" t="n">
        <f aca="false">C122</f>
        <v>0.5</v>
      </c>
      <c r="H122" s="89" t="n">
        <f aca="false">1</f>
        <v>1</v>
      </c>
      <c r="I122" s="1"/>
      <c r="J122" s="90" t="n">
        <f aca="false" t="array" ref="J122:J122">MMULT($D122:$H122,$I$110:$I$114)</f>
        <v>2.8125</v>
      </c>
      <c r="K122" s="91" t="n">
        <f aca="false" t="array" ref="K122:K122">MMULT($D122:$H122,$K$110:$K$114)</f>
        <v>2.25</v>
      </c>
      <c r="L122" s="91" t="n">
        <f aca="false" t="array" ref="L122:L122">MMULT($D122:$H122,$M$110:$M$114)</f>
        <v>1</v>
      </c>
      <c r="M122" s="1"/>
      <c r="N122" s="1"/>
      <c r="O122" s="1"/>
      <c r="P122" s="1"/>
      <c r="Q122" s="1"/>
      <c r="R122" s="1"/>
      <c r="S122" s="1"/>
      <c r="T122" s="1"/>
    </row>
    <row r="123" customFormat="false" ht="13.8" hidden="false" customHeight="false" outlineLevel="0" collapsed="false">
      <c r="C123" s="39" t="n">
        <f aca="false">C122+0.1</f>
        <v>0.6</v>
      </c>
      <c r="D123" s="82" t="n">
        <f aca="false">C123^4</f>
        <v>0.1296</v>
      </c>
      <c r="E123" s="83" t="n">
        <f aca="false">C123^3</f>
        <v>0.216</v>
      </c>
      <c r="F123" s="83" t="n">
        <f aca="false">C123^2</f>
        <v>0.36</v>
      </c>
      <c r="G123" s="84" t="n">
        <f aca="false">C123</f>
        <v>0.6</v>
      </c>
      <c r="H123" s="84" t="n">
        <f aca="false">1</f>
        <v>1</v>
      </c>
      <c r="I123" s="1"/>
      <c r="J123" s="85" t="n">
        <f aca="false" t="array" ref="J123:J123">MMULT($D123:$H123,$I$110:$I$114)</f>
        <v>3.4128</v>
      </c>
      <c r="K123" s="86" t="n">
        <f aca="false" t="array" ref="K123:K123">MMULT($D123:$H123,$K$110:$K$114)</f>
        <v>2.5152</v>
      </c>
      <c r="L123" s="86" t="n">
        <f aca="false" t="array" ref="L123:L123">MMULT($D123:$H123,$M$110:$M$114)</f>
        <v>1</v>
      </c>
      <c r="M123" s="1"/>
      <c r="N123" s="1"/>
      <c r="O123" s="1"/>
      <c r="P123" s="1"/>
      <c r="Q123" s="1"/>
      <c r="R123" s="1"/>
      <c r="S123" s="1"/>
      <c r="T123" s="1"/>
    </row>
    <row r="124" customFormat="false" ht="13.8" hidden="false" customHeight="false" outlineLevel="0" collapsed="false">
      <c r="C124" s="39" t="n">
        <f aca="false">C123+0.1</f>
        <v>0.7</v>
      </c>
      <c r="D124" s="82" t="n">
        <f aca="false">C124^4</f>
        <v>0.2401</v>
      </c>
      <c r="E124" s="83" t="n">
        <f aca="false">C124^3</f>
        <v>0.343</v>
      </c>
      <c r="F124" s="83" t="n">
        <f aca="false">C124^2</f>
        <v>0.49</v>
      </c>
      <c r="G124" s="84" t="n">
        <f aca="false">C124</f>
        <v>0.7</v>
      </c>
      <c r="H124" s="84" t="n">
        <f aca="false">1</f>
        <v>1</v>
      </c>
      <c r="I124" s="1"/>
      <c r="J124" s="85" t="n">
        <f aca="false" t="array" ref="J124:J124">MMULT($D124:$H124,$I$110:$I$114)</f>
        <v>3.9053</v>
      </c>
      <c r="K124" s="86" t="n">
        <f aca="false" t="array" ref="K124:K124">MMULT($D124:$H124,$K$110:$K$114)</f>
        <v>2.9092</v>
      </c>
      <c r="L124" s="86" t="n">
        <f aca="false" t="array" ref="L124:L124">MMULT($D124:$H124,$M$110:$M$114)</f>
        <v>1</v>
      </c>
      <c r="M124" s="1"/>
      <c r="N124" s="1"/>
      <c r="O124" s="1"/>
      <c r="P124" s="1"/>
      <c r="Q124" s="1"/>
      <c r="R124" s="1"/>
      <c r="S124" s="1"/>
      <c r="T124" s="1"/>
    </row>
    <row r="125" customFormat="false" ht="13.8" hidden="false" customHeight="false" outlineLevel="0" collapsed="false">
      <c r="C125" s="39" t="n">
        <f aca="false">C124+0.1</f>
        <v>0.8</v>
      </c>
      <c r="D125" s="82" t="n">
        <f aca="false">C125^4</f>
        <v>0.4096</v>
      </c>
      <c r="E125" s="83" t="n">
        <f aca="false">C125^3</f>
        <v>0.512</v>
      </c>
      <c r="F125" s="83" t="n">
        <f aca="false">C125^2</f>
        <v>0.64</v>
      </c>
      <c r="G125" s="84" t="n">
        <f aca="false">C125</f>
        <v>0.8</v>
      </c>
      <c r="H125" s="84" t="n">
        <f aca="false">1</f>
        <v>1</v>
      </c>
      <c r="I125" s="1"/>
      <c r="J125" s="85" t="n">
        <f aca="false" t="array" ref="J125:J125">MMULT($D125:$H125,$I$110:$I$114)</f>
        <v>4.3008</v>
      </c>
      <c r="K125" s="86" t="n">
        <f aca="false" t="array" ref="K125:K125">MMULT($D125:$H125,$K$110:$K$114)</f>
        <v>3.3792</v>
      </c>
      <c r="L125" s="86" t="n">
        <f aca="false" t="array" ref="L125:L125">MMULT($D125:$H125,$M$110:$M$114)</f>
        <v>1</v>
      </c>
      <c r="M125" s="1"/>
      <c r="N125" s="1"/>
      <c r="O125" s="1"/>
      <c r="P125" s="1"/>
      <c r="Q125" s="1"/>
      <c r="R125" s="1"/>
      <c r="S125" s="1"/>
      <c r="T125" s="1"/>
    </row>
    <row r="126" customFormat="false" ht="13.8" hidden="false" customHeight="false" outlineLevel="0" collapsed="false">
      <c r="C126" s="39" t="n">
        <f aca="false">C125+0.1</f>
        <v>0.9</v>
      </c>
      <c r="D126" s="82" t="n">
        <f aca="false">C126^4</f>
        <v>0.6561</v>
      </c>
      <c r="E126" s="83" t="n">
        <f aca="false">C126^3</f>
        <v>0.729</v>
      </c>
      <c r="F126" s="83" t="n">
        <f aca="false">C126^2</f>
        <v>0.81</v>
      </c>
      <c r="G126" s="84" t="n">
        <f aca="false">C126</f>
        <v>0.9</v>
      </c>
      <c r="H126" s="84" t="n">
        <f aca="false">1</f>
        <v>1</v>
      </c>
      <c r="I126" s="1"/>
      <c r="J126" s="85" t="n">
        <f aca="false" t="array" ref="J126:J126">MMULT($D126:$H126,$I$110:$I$114)</f>
        <v>4.6413</v>
      </c>
      <c r="K126" s="86" t="n">
        <f aca="false" t="array" ref="K126:K126">MMULT($D126:$H126,$K$110:$K$114)</f>
        <v>3.8052</v>
      </c>
      <c r="L126" s="86" t="n">
        <f aca="false" t="array" ref="L126:L126">MMULT($D126:$H126,$M$110:$M$114)</f>
        <v>1</v>
      </c>
      <c r="M126" s="1"/>
      <c r="N126" s="1"/>
      <c r="O126" s="1"/>
      <c r="P126" s="1"/>
      <c r="Q126" s="1"/>
      <c r="R126" s="1"/>
      <c r="S126" s="1"/>
      <c r="T126" s="1"/>
    </row>
    <row r="127" customFormat="false" ht="13.8" hidden="false" customHeight="false" outlineLevel="0" collapsed="false">
      <c r="C127" s="45" t="n">
        <f aca="false">C126+0.1</f>
        <v>1</v>
      </c>
      <c r="D127" s="92" t="n">
        <f aca="false">C127^4</f>
        <v>1</v>
      </c>
      <c r="E127" s="93" t="n">
        <f aca="false">C127^3</f>
        <v>1</v>
      </c>
      <c r="F127" s="93" t="n">
        <f aca="false">C127^2</f>
        <v>1</v>
      </c>
      <c r="G127" s="94" t="n">
        <f aca="false">C127</f>
        <v>1</v>
      </c>
      <c r="H127" s="94" t="n">
        <f aca="false">1</f>
        <v>1</v>
      </c>
      <c r="I127" s="1"/>
      <c r="J127" s="95" t="n">
        <f aca="false" t="array" ref="J127:J127">MMULT($D127:$H127,$I$110:$I$114)</f>
        <v>5</v>
      </c>
      <c r="K127" s="96" t="n">
        <f aca="false" t="array" ref="K127:K127">MMULT($D127:$H127,$K$110:$K$114)</f>
        <v>4</v>
      </c>
      <c r="L127" s="96" t="n">
        <f aca="false" t="array" ref="L127:L127">MMULT($D127:$H127,$M$110:$M$114)</f>
        <v>1</v>
      </c>
      <c r="M127" s="1"/>
      <c r="N127" s="1"/>
      <c r="O127" s="1"/>
      <c r="P127" s="1"/>
      <c r="Q127" s="1"/>
      <c r="R127" s="1"/>
      <c r="S127" s="1"/>
      <c r="T127" s="1"/>
    </row>
    <row r="128" customFormat="false" ht="8.5" hidden="false" customHeight="true" outlineLevel="0" collapsed="false">
      <c r="K128" s="1"/>
      <c r="L128" s="1"/>
      <c r="M128" s="1"/>
      <c r="N128" s="1"/>
      <c r="O128" s="1"/>
      <c r="P128" s="1"/>
      <c r="Q128" s="1"/>
      <c r="R128" s="1"/>
      <c r="S128" s="1"/>
      <c r="T128" s="1"/>
    </row>
  </sheetData>
  <mergeCells count="14">
    <mergeCell ref="K34:O34"/>
    <mergeCell ref="K35:O35"/>
    <mergeCell ref="K36:O36"/>
    <mergeCell ref="K37:O37"/>
    <mergeCell ref="K38:O38"/>
    <mergeCell ref="E42:G42"/>
    <mergeCell ref="K42:M42"/>
    <mergeCell ref="Q42:S42"/>
    <mergeCell ref="O76:P76"/>
    <mergeCell ref="O77:P77"/>
    <mergeCell ref="O78:P78"/>
    <mergeCell ref="E101:G101"/>
    <mergeCell ref="K101:M101"/>
    <mergeCell ref="Q101:S10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2024-04-04T06:03:15Z</dcterms:created>
  <dc:creator>Anang Prihadi</dc:creator>
  <dc:description/>
  <dc:language>id-ID</dc:language>
  <cp:lastModifiedBy/>
  <dcterms:modified xsi:type="dcterms:W3CDTF">2026-02-27T21:12:29Z</dcterms:modified>
  <cp:revision>105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